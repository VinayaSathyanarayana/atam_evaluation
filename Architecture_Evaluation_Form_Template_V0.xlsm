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7"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lahiruk/Downloads/"/>
    </mc:Choice>
  </mc:AlternateContent>
  <xr:revisionPtr revIDLastSave="0" documentId="13_ncr:11_{F150CB23-6C2C-1A44-8F37-353D8C0027ED}" xr6:coauthVersionLast="45" xr6:coauthVersionMax="45" xr10:uidLastSave="{00000000-0000-0000-0000-000000000000}"/>
  <bookViews>
    <workbookView xWindow="0" yWindow="460" windowWidth="32140" windowHeight="20540" xr2:uid="{00000000-000D-0000-FFFF-FFFF00000000}"/>
  </bookViews>
  <sheets>
    <sheet name="Summary" sheetId="3" r:id="rId1"/>
    <sheet name="User Perspective" sheetId="1" r:id="rId2"/>
    <sheet name="Developer Perspective" sheetId="2" r:id="rId3"/>
    <sheet name="Lists" sheetId="4" r:id="rId4"/>
  </sheets>
  <definedNames>
    <definedName name="ArchRigor">'Developer Perspective'!$C$13:$C$14</definedName>
    <definedName name="ArchRigorD">'Developer Perspective'!$D$13:$D$14</definedName>
    <definedName name="ArchRigorE">'Developer Perspective'!$E$13:$E$14</definedName>
    <definedName name="CloudLockRange">'User Perspective'!$C$40</definedName>
    <definedName name="CloudLockRangeD">'User Perspective'!$D$40</definedName>
    <definedName name="CloudLockRangeE">'User Perspective'!$E$40</definedName>
    <definedName name="DevSec">'Developer Perspective'!$C$26:$C$28</definedName>
    <definedName name="DevSecD">'Developer Perspective'!$D$26:$D$28</definedName>
    <definedName name="DevSecE">'Developer Perspective'!$E$26:$E$28</definedName>
    <definedName name="DRRange">'User Perspective'!$C$6:$C$8</definedName>
    <definedName name="DRRangeD">'User Perspective'!$D$6:$D$8</definedName>
    <definedName name="DRRangeE">'User Perspective'!$E$6:$E$8</definedName>
    <definedName name="EaseUseRange">'Developer Perspective'!$C$30:$C$30</definedName>
    <definedName name="EaseUseRangeD">'Developer Perspective'!$D$30:$D$30</definedName>
    <definedName name="EaseUseRangeE">'Developer Perspective'!$E$30:$E$30</definedName>
    <definedName name="FTHARange">'User Perspective'!$C$3:$C$4</definedName>
    <definedName name="FTHARangeD">'User Perspective'!$D$3:$D$4</definedName>
    <definedName name="FTHARangeE">'User Perspective'!$E$3:$E$4</definedName>
    <definedName name="InterOpRange">'User Perspective'!$C$20:$C$21</definedName>
    <definedName name="InterOpRangeD">'User Perspective'!$D$20:$D$21</definedName>
    <definedName name="InterOpRangeE">'User Perspective'!$E$20:$E$21</definedName>
    <definedName name="MaintainRange">'Developer Perspective'!$C$16:$C$24</definedName>
    <definedName name="MaintainRangeD">'Developer Perspective'!$D$16:$D$24</definedName>
    <definedName name="MaintainRangeE">'Developer Perspective'!$E$16:$E$24</definedName>
    <definedName name="OperationRange">'User Perspective'!$C$42:$C$46</definedName>
    <definedName name="OperationRangeD">'User Perspective'!$D$42:$D$46</definedName>
    <definedName name="OperationRangeE">'User Perspective'!$E$42:$E$46</definedName>
    <definedName name="PerfRange">'User Perspective'!$C$13:$C$15</definedName>
    <definedName name="PerfRangeD">'User Perspective'!$D$13:$D$15</definedName>
    <definedName name="PerfRangeE">'User Perspective'!$E$13:$E$15</definedName>
    <definedName name="ReuseRange">'Developer Perspective'!$C$3:$C$5</definedName>
    <definedName name="ReuseRangeD">'Developer Perspective'!$D$3:$D$5</definedName>
    <definedName name="ReuseRangeE">'Developer Perspective'!$E$3:$E$5</definedName>
    <definedName name="RunCostRange">'User Perspective'!$C$17:$C$18</definedName>
    <definedName name="RunCostRangeD">'User Perspective'!$D$17:$D$18</definedName>
    <definedName name="RunCostRangeE">'User Perspective'!$E$17:$E$18</definedName>
    <definedName name="ScaleRange">'User Perspective'!$C$10:$C$11</definedName>
    <definedName name="ScaleRangeD">'User Perspective'!$D$10:$D$11</definedName>
    <definedName name="ScaleRangeE">'User Perspective'!$E$10:$E$11</definedName>
    <definedName name="SecurityRange">'User Perspective'!$C$23:$C$33</definedName>
    <definedName name="SecurityRangeD">'User Perspective'!$D$23:$D$33</definedName>
    <definedName name="SecurityRangeE">'User Perspective'!$E$23:$E$33</definedName>
    <definedName name="TestRange">'Developer Perspective'!$C$7:$C$11</definedName>
    <definedName name="TestRangeD">'Developer Perspective'!$D$7:$D$11</definedName>
    <definedName name="TestRangeE">'Developer Perspective'!$E$7:$E$11</definedName>
    <definedName name="TimeRange">'Developer Perspective'!$C$32</definedName>
    <definedName name="TimeRangeD">'Developer Perspective'!$D$32</definedName>
    <definedName name="TimeRangeE">'Developer Perspective'!$E$32</definedName>
    <definedName name="UsabilityRange">'User Perspective'!$C$35:$C$38</definedName>
    <definedName name="UsabilityRangeD">'User Perspective'!$D$35:$D$38</definedName>
    <definedName name="UsabilityRangeE">'User Perspective'!$E$35:$E$38</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3" i="2" l="1"/>
  <c r="D23" i="2"/>
  <c r="E26" i="1" l="1"/>
  <c r="D26" i="1"/>
  <c r="E45" i="1"/>
  <c r="D45" i="1"/>
  <c r="D44" i="1"/>
  <c r="E44" i="1"/>
  <c r="E43" i="1"/>
  <c r="D43" i="1"/>
  <c r="E28" i="1" l="1"/>
  <c r="D28" i="1"/>
  <c r="E14" i="1" l="1"/>
  <c r="D14" i="1"/>
  <c r="E11" i="1" l="1"/>
  <c r="D11" i="1"/>
  <c r="E15" i="1"/>
  <c r="D15" i="1"/>
  <c r="E32" i="1"/>
  <c r="D32" i="1"/>
  <c r="E31" i="1" l="1"/>
  <c r="D31" i="1"/>
  <c r="E17" i="2" l="1"/>
  <c r="D17" i="2"/>
  <c r="E10" i="2" l="1"/>
  <c r="D10" i="2"/>
  <c r="E4" i="1" l="1"/>
  <c r="D4" i="1"/>
  <c r="E8" i="2"/>
  <c r="D8" i="2"/>
  <c r="E9" i="2"/>
  <c r="D9" i="2"/>
  <c r="E21" i="2"/>
  <c r="D21" i="2"/>
  <c r="E22" i="2" l="1"/>
  <c r="D22" i="2"/>
  <c r="D25" i="1" l="1"/>
  <c r="E25" i="1"/>
  <c r="H29" i="3" l="1"/>
  <c r="G29" i="3"/>
  <c r="F29" i="3"/>
  <c r="A29" i="3"/>
  <c r="H27" i="3"/>
  <c r="G27" i="3"/>
  <c r="F27" i="3"/>
  <c r="A27" i="3"/>
  <c r="E30" i="1" l="1"/>
  <c r="D30" i="1"/>
  <c r="E38" i="1"/>
  <c r="D38" i="1"/>
  <c r="E28" i="2" l="1"/>
  <c r="D28" i="2"/>
  <c r="E27" i="2"/>
  <c r="D27" i="2"/>
  <c r="E26" i="2"/>
  <c r="D26" i="2"/>
  <c r="E24" i="2"/>
  <c r="D24" i="2"/>
  <c r="E14" i="2"/>
  <c r="D14" i="2"/>
  <c r="E13" i="2"/>
  <c r="D13" i="2"/>
  <c r="C27" i="3" l="1"/>
  <c r="D27" i="3"/>
  <c r="D29" i="3"/>
  <c r="C29" i="3"/>
  <c r="E32" i="2"/>
  <c r="D31" i="3" s="1"/>
  <c r="D32" i="2"/>
  <c r="E30" i="2"/>
  <c r="D30" i="3" s="1"/>
  <c r="D30" i="2"/>
  <c r="E16" i="2"/>
  <c r="E18" i="2"/>
  <c r="E19" i="2"/>
  <c r="E20" i="2"/>
  <c r="D16" i="2"/>
  <c r="D18" i="2"/>
  <c r="D19" i="2"/>
  <c r="D20" i="2"/>
  <c r="E7" i="2"/>
  <c r="E11" i="2"/>
  <c r="D7" i="2"/>
  <c r="D11" i="2"/>
  <c r="E3" i="2"/>
  <c r="E4" i="2"/>
  <c r="E5" i="2"/>
  <c r="D3" i="2"/>
  <c r="D4" i="2"/>
  <c r="D5" i="2"/>
  <c r="E42" i="1"/>
  <c r="E46" i="1"/>
  <c r="D42" i="1"/>
  <c r="D46" i="1"/>
  <c r="E40" i="1"/>
  <c r="D22" i="3" s="1"/>
  <c r="D40" i="1"/>
  <c r="C22" i="3" s="1"/>
  <c r="E35" i="1"/>
  <c r="E36" i="1"/>
  <c r="E37" i="1"/>
  <c r="D35" i="1"/>
  <c r="D36" i="1"/>
  <c r="D37" i="1"/>
  <c r="E23" i="1"/>
  <c r="E24" i="1"/>
  <c r="E27" i="1"/>
  <c r="E29" i="1"/>
  <c r="E33" i="1"/>
  <c r="D23" i="1"/>
  <c r="D24" i="1"/>
  <c r="D27" i="1"/>
  <c r="D29" i="1"/>
  <c r="D33" i="1"/>
  <c r="E20" i="1"/>
  <c r="E21" i="1"/>
  <c r="D20" i="1"/>
  <c r="D21" i="1"/>
  <c r="E17" i="1"/>
  <c r="E18" i="1"/>
  <c r="D17" i="1"/>
  <c r="D18" i="1"/>
  <c r="E13" i="1"/>
  <c r="D13" i="1"/>
  <c r="E6" i="1"/>
  <c r="E8" i="1"/>
  <c r="D6" i="1"/>
  <c r="D8" i="1"/>
  <c r="E3" i="1"/>
  <c r="D14" i="3" s="1"/>
  <c r="D3" i="1"/>
  <c r="F14" i="3"/>
  <c r="G14" i="3"/>
  <c r="H14" i="3"/>
  <c r="F15" i="3"/>
  <c r="G15" i="3"/>
  <c r="H15" i="3"/>
  <c r="F16" i="3"/>
  <c r="G16" i="3"/>
  <c r="H16" i="3"/>
  <c r="F17" i="3"/>
  <c r="G17" i="3"/>
  <c r="H17" i="3"/>
  <c r="F18" i="3"/>
  <c r="G18" i="3"/>
  <c r="H18" i="3"/>
  <c r="F19" i="3"/>
  <c r="G19" i="3"/>
  <c r="H19" i="3"/>
  <c r="F20" i="3"/>
  <c r="G20" i="3"/>
  <c r="H20" i="3"/>
  <c r="F21" i="3"/>
  <c r="G21" i="3"/>
  <c r="H21" i="3"/>
  <c r="F22" i="3"/>
  <c r="G22" i="3"/>
  <c r="H22" i="3"/>
  <c r="F23" i="3"/>
  <c r="G23" i="3"/>
  <c r="H23" i="3"/>
  <c r="F25" i="3"/>
  <c r="G25" i="3"/>
  <c r="H25" i="3"/>
  <c r="F26" i="3"/>
  <c r="G26" i="3"/>
  <c r="H26" i="3"/>
  <c r="F28" i="3"/>
  <c r="G28" i="3"/>
  <c r="H28" i="3"/>
  <c r="F30" i="3"/>
  <c r="G30" i="3"/>
  <c r="H30" i="3"/>
  <c r="F31" i="3"/>
  <c r="G31" i="3"/>
  <c r="H31" i="3"/>
  <c r="A31" i="3"/>
  <c r="A10" i="3"/>
  <c r="E10" i="1"/>
  <c r="D16" i="3" s="1"/>
  <c r="D10" i="1"/>
  <c r="C16" i="3" s="1"/>
  <c r="A14" i="3"/>
  <c r="A30" i="3"/>
  <c r="A28" i="3"/>
  <c r="A26" i="3"/>
  <c r="A25" i="3"/>
  <c r="A23" i="3"/>
  <c r="A22" i="3"/>
  <c r="A21" i="3"/>
  <c r="A20" i="3"/>
  <c r="A19" i="3"/>
  <c r="A18" i="3"/>
  <c r="A17" i="3"/>
  <c r="A16" i="3"/>
  <c r="A11" i="3"/>
  <c r="A15" i="3"/>
  <c r="D17" i="3" l="1"/>
  <c r="D21" i="3"/>
  <c r="B27" i="3"/>
  <c r="C23" i="3"/>
  <c r="D18" i="3"/>
  <c r="D15" i="3"/>
  <c r="D19" i="3"/>
  <c r="C21" i="3"/>
  <c r="C31" i="3"/>
  <c r="B31" i="3" s="1"/>
  <c r="C28" i="3"/>
  <c r="D26" i="3"/>
  <c r="B29" i="3"/>
  <c r="D25" i="3"/>
  <c r="C18" i="3"/>
  <c r="C14" i="3"/>
  <c r="B14" i="3" s="1"/>
  <c r="C15" i="3"/>
  <c r="C19" i="3"/>
  <c r="D20" i="3"/>
  <c r="D23" i="3"/>
  <c r="C17" i="3"/>
  <c r="C20" i="3"/>
  <c r="C26" i="3"/>
  <c r="D28" i="3"/>
  <c r="C30" i="3"/>
  <c r="B30" i="3" s="1"/>
  <c r="C25" i="3"/>
  <c r="G32" i="3"/>
  <c r="F32" i="3"/>
  <c r="H32" i="3"/>
  <c r="B22" i="3"/>
  <c r="B17" i="3" l="1"/>
  <c r="B23" i="3"/>
  <c r="B18" i="3"/>
  <c r="B28" i="3"/>
  <c r="B25" i="3"/>
  <c r="B15" i="3"/>
  <c r="B16" i="3"/>
  <c r="B19" i="3"/>
  <c r="B21" i="3"/>
  <c r="B10" i="3"/>
  <c r="B20" i="3"/>
  <c r="B11" i="3"/>
  <c r="B26" i="3"/>
  <c r="B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5AD8963-3CE8-EE4E-968A-690927A51C09}">
      <text>
        <r>
          <rPr>
            <b/>
            <sz val="10"/>
            <color rgb="FF000000"/>
            <rFont val="Tahoma"/>
            <family val="2"/>
          </rPr>
          <t>Microsoft Office User:</t>
        </r>
        <r>
          <rPr>
            <sz val="10"/>
            <color rgb="FF000000"/>
            <rFont val="Tahoma"/>
            <family val="2"/>
          </rPr>
          <t xml:space="preserve">
</t>
        </r>
        <r>
          <rPr>
            <sz val="10"/>
            <color rgb="FF000000"/>
            <rFont val="Tahoma"/>
            <family val="2"/>
          </rPr>
          <t xml:space="preserve">1. Identification of possible system outage scenarios
</t>
        </r>
        <r>
          <rPr>
            <sz val="10"/>
            <color rgb="FF000000"/>
            <rFont val="Tahoma"/>
            <family val="2"/>
          </rPr>
          <t xml:space="preserve">2. System uses AWS availability zones for all scenarios
</t>
        </r>
        <r>
          <rPr>
            <sz val="10"/>
            <color rgb="FF000000"/>
            <rFont val="Tahoma"/>
            <family val="2"/>
          </rPr>
          <t xml:space="preserve">3. System uses alternative mechanisms to mitigate availability
</t>
        </r>
        <r>
          <rPr>
            <sz val="10"/>
            <color rgb="FF000000"/>
            <rFont val="Tahoma"/>
            <family val="2"/>
          </rPr>
          <t xml:space="preserve">4. System use redundant storage for permanent and temporary data 
</t>
        </r>
        <r>
          <rPr>
            <sz val="10"/>
            <color rgb="FF000000"/>
            <rFont val="Tahoma"/>
            <family val="2"/>
          </rPr>
          <t xml:space="preserve">5. System using shared resources
</t>
        </r>
        <r>
          <rPr>
            <sz val="10"/>
            <color rgb="FF000000"/>
            <rFont val="Tahoma"/>
            <family val="2"/>
          </rPr>
          <t xml:space="preserve">6. System has alternatives to eliminate single point of failure
</t>
        </r>
        <r>
          <rPr>
            <sz val="10"/>
            <color rgb="FF000000"/>
            <rFont val="Tahoma"/>
            <family val="2"/>
          </rPr>
          <t>7. System has measures stay online on extreme load</t>
        </r>
      </text>
    </comment>
    <comment ref="A4" authorId="0" shapeId="0" xr:uid="{6CFE4C2F-9072-3543-B89C-003AB12686D2}">
      <text>
        <r>
          <rPr>
            <b/>
            <sz val="10"/>
            <color rgb="FF000000"/>
            <rFont val="Tahoma"/>
            <family val="2"/>
          </rPr>
          <t>Microsoft Office User:</t>
        </r>
        <r>
          <rPr>
            <sz val="10"/>
            <color rgb="FF000000"/>
            <rFont val="Tahoma"/>
            <family val="2"/>
          </rPr>
          <t xml:space="preserve">
</t>
        </r>
        <r>
          <rPr>
            <sz val="10"/>
            <color rgb="FF000000"/>
            <rFont val="Tahoma"/>
            <family val="2"/>
          </rPr>
          <t xml:space="preserve">1. Identification of possible system outage scenarios
</t>
        </r>
        <r>
          <rPr>
            <sz val="10"/>
            <color rgb="FF000000"/>
            <rFont val="Tahoma"/>
            <family val="2"/>
          </rPr>
          <t xml:space="preserve">2. System uses AWS availability zones for all scenarios
</t>
        </r>
        <r>
          <rPr>
            <sz val="10"/>
            <color rgb="FF000000"/>
            <rFont val="Tahoma"/>
            <family val="2"/>
          </rPr>
          <t xml:space="preserve">3. System uses alternative mechanisms to mitigate availability
</t>
        </r>
        <r>
          <rPr>
            <sz val="10"/>
            <color rgb="FF000000"/>
            <rFont val="Tahoma"/>
            <family val="2"/>
          </rPr>
          <t xml:space="preserve">4. System use redundant storage for permanent and temporary data 
</t>
        </r>
        <r>
          <rPr>
            <sz val="10"/>
            <color rgb="FF000000"/>
            <rFont val="Tahoma"/>
            <family val="2"/>
          </rPr>
          <t xml:space="preserve">5. System using shared resources
</t>
        </r>
        <r>
          <rPr>
            <sz val="10"/>
            <color rgb="FF000000"/>
            <rFont val="Tahoma"/>
            <family val="2"/>
          </rPr>
          <t xml:space="preserve">6. System has alternatives to eliminate single point of failure
</t>
        </r>
        <r>
          <rPr>
            <sz val="10"/>
            <color rgb="FF000000"/>
            <rFont val="Tahoma"/>
            <family val="2"/>
          </rPr>
          <t>7. System has measures stay online on extreme load</t>
        </r>
      </text>
    </comment>
    <comment ref="A6" authorId="0" shapeId="0" xr:uid="{DA894E74-D8C0-614D-83A3-906653DB4690}">
      <text>
        <r>
          <rPr>
            <b/>
            <sz val="10"/>
            <color rgb="FF000000"/>
            <rFont val="Tahoma"/>
            <family val="2"/>
          </rPr>
          <t>Microsoft Office User:</t>
        </r>
        <r>
          <rPr>
            <sz val="10"/>
            <color rgb="FF000000"/>
            <rFont val="Tahoma"/>
            <family val="2"/>
          </rPr>
          <t xml:space="preserve">
</t>
        </r>
        <r>
          <rPr>
            <sz val="10"/>
            <color rgb="FF000000"/>
            <rFont val="Tahoma"/>
            <family val="2"/>
          </rPr>
          <t xml:space="preserve">1. Established processes to follow on disaster with timings for each step.
</t>
        </r>
        <r>
          <rPr>
            <sz val="10"/>
            <color rgb="FF000000"/>
            <rFont val="Tahoma"/>
            <family val="2"/>
          </rPr>
          <t xml:space="preserve">2. Defined redundant storage / cache to mitigate hardware failures.
</t>
        </r>
        <r>
          <rPr>
            <sz val="10"/>
            <color rgb="FF000000"/>
            <rFont val="Tahoma"/>
            <family val="34"/>
          </rPr>
          <t xml:space="preserve">3. Use of, 
</t>
        </r>
        <r>
          <rPr>
            <sz val="10"/>
            <color rgb="FF000000"/>
            <rFont val="Tahoma"/>
            <family val="34"/>
          </rPr>
          <t xml:space="preserve">        correct data storage technology
</t>
        </r>
        <r>
          <rPr>
            <sz val="10"/>
            <color rgb="FF000000"/>
            <rFont val="Tahoma"/>
            <family val="34"/>
          </rPr>
          <t xml:space="preserve">        correct caching technology
</t>
        </r>
        <r>
          <rPr>
            <sz val="10"/>
            <color rgb="FF000000"/>
            <rFont val="Tahoma"/>
            <family val="34"/>
          </rPr>
          <t xml:space="preserve">        correct queues technology</t>
        </r>
      </text>
    </comment>
    <comment ref="A7" authorId="0" shapeId="0" xr:uid="{205DEB6D-F26D-0A40-99CC-F18C7D6EA00D}">
      <text>
        <r>
          <rPr>
            <b/>
            <sz val="10"/>
            <color rgb="FF000000"/>
            <rFont val="Tahoma"/>
            <family val="2"/>
          </rPr>
          <t>Microsoft Office User:</t>
        </r>
        <r>
          <rPr>
            <sz val="10"/>
            <color rgb="FF000000"/>
            <rFont val="Tahoma"/>
            <family val="2"/>
          </rPr>
          <t xml:space="preserve">
</t>
        </r>
        <r>
          <rPr>
            <sz val="10"/>
            <color rgb="FF000000"/>
            <rFont val="Tahoma"/>
            <family val="2"/>
          </rPr>
          <t xml:space="preserve">1. Established processes to follow on disaster with timings for each step.
</t>
        </r>
        <r>
          <rPr>
            <sz val="10"/>
            <color rgb="FF000000"/>
            <rFont val="Tahoma"/>
            <family val="2"/>
          </rPr>
          <t xml:space="preserve">2. Defined redundant storage / cache to mitigate hardware failures.
</t>
        </r>
        <r>
          <rPr>
            <sz val="10"/>
            <color rgb="FF000000"/>
            <rFont val="Tahoma"/>
            <family val="34"/>
          </rPr>
          <t xml:space="preserve">3. Use of, 
</t>
        </r>
        <r>
          <rPr>
            <sz val="10"/>
            <color rgb="FF000000"/>
            <rFont val="Tahoma"/>
            <family val="34"/>
          </rPr>
          <t xml:space="preserve">        correct data storage technology
</t>
        </r>
        <r>
          <rPr>
            <sz val="10"/>
            <color rgb="FF000000"/>
            <rFont val="Tahoma"/>
            <family val="34"/>
          </rPr>
          <t xml:space="preserve">        correct caching technology
</t>
        </r>
        <r>
          <rPr>
            <sz val="10"/>
            <color rgb="FF000000"/>
            <rFont val="Tahoma"/>
            <family val="34"/>
          </rPr>
          <t xml:space="preserve">        correct queues technology</t>
        </r>
      </text>
    </comment>
    <comment ref="A8" authorId="0" shapeId="0" xr:uid="{46647A8F-0B26-2C4C-A7BE-D129EF6A19E2}">
      <text>
        <r>
          <rPr>
            <b/>
            <sz val="10"/>
            <color rgb="FF000000"/>
            <rFont val="Tahoma"/>
            <family val="2"/>
          </rPr>
          <t>Microsoft Office User:</t>
        </r>
        <r>
          <rPr>
            <sz val="10"/>
            <color rgb="FF000000"/>
            <rFont val="Tahoma"/>
            <family val="2"/>
          </rPr>
          <t xml:space="preserve">
</t>
        </r>
        <r>
          <rPr>
            <sz val="10"/>
            <color rgb="FF000000"/>
            <rFont val="Tahoma"/>
            <family val="2"/>
          </rPr>
          <t xml:space="preserve">1. Time to boot complete system identified.
</t>
        </r>
        <r>
          <rPr>
            <sz val="10"/>
            <color rgb="FF000000"/>
            <rFont val="Tahoma"/>
            <family val="34"/>
          </rPr>
          <t xml:space="preserve">2. Use of, 
</t>
        </r>
        <r>
          <rPr>
            <sz val="10"/>
            <color rgb="FF000000"/>
            <rFont val="Tahoma"/>
            <family val="34"/>
          </rPr>
          <t xml:space="preserve">        correct load balancing technology
</t>
        </r>
        <r>
          <rPr>
            <sz val="10"/>
            <color rgb="FF000000"/>
            <rFont val="Tahoma"/>
            <family val="34"/>
          </rPr>
          <t xml:space="preserve">        correct data storage technology</t>
        </r>
      </text>
    </comment>
    <comment ref="A10" authorId="0" shapeId="0" xr:uid="{BF90ABC8-7075-514A-A008-943C1E0F4766}">
      <text>
        <r>
          <rPr>
            <b/>
            <sz val="10"/>
            <color rgb="FF000000"/>
            <rFont val="Tahoma"/>
            <family val="2"/>
          </rPr>
          <t>Microsoft Office User:</t>
        </r>
        <r>
          <rPr>
            <sz val="10"/>
            <color rgb="FF000000"/>
            <rFont val="Tahoma"/>
            <family val="2"/>
          </rPr>
          <t xml:space="preserve">
</t>
        </r>
        <r>
          <rPr>
            <sz val="10"/>
            <color rgb="FF000000"/>
            <rFont val="Tahoma"/>
            <family val="2"/>
          </rPr>
          <t xml:space="preserve">1. Level of automation in scaling.
</t>
        </r>
        <r>
          <rPr>
            <sz val="10"/>
            <color rgb="FF000000"/>
            <rFont val="Tahoma"/>
            <family val="2"/>
          </rPr>
          <t xml:space="preserve">2. Level of automated load balancing.
</t>
        </r>
        <r>
          <rPr>
            <sz val="10"/>
            <color rgb="FF000000"/>
            <rFont val="Tahoma"/>
            <family val="2"/>
          </rPr>
          <t xml:space="preserve">3. Availability of scalability number and benchmark.
</t>
        </r>
        <r>
          <rPr>
            <sz val="10"/>
            <color rgb="FF000000"/>
            <rFont val="Tahoma"/>
            <family val="2"/>
          </rPr>
          <t xml:space="preserve">4. </t>
        </r>
        <r>
          <rPr>
            <sz val="10"/>
            <color rgb="FF000000"/>
            <rFont val="Tahoma"/>
            <family val="34"/>
          </rPr>
          <t xml:space="preserve">Time taken to start business logic node / cache node / data node / queue node
</t>
        </r>
        <r>
          <rPr>
            <sz val="10"/>
            <color rgb="FF000000"/>
            <rFont val="Calibri"/>
            <family val="2"/>
          </rPr>
          <t xml:space="preserve">5. </t>
        </r>
        <r>
          <rPr>
            <sz val="10"/>
            <color rgb="FF000000"/>
            <rFont val="Tahoma"/>
            <family val="34"/>
          </rPr>
          <t xml:space="preserve">Identified set of AWS service level scalability. I.e. No of concurrent Lambda executions, No of data service writes / reads per second, No of queue requests per second
</t>
        </r>
        <r>
          <rPr>
            <sz val="10"/>
            <color rgb="FF000000"/>
            <rFont val="Tahoma"/>
            <family val="34"/>
          </rPr>
          <t xml:space="preserve">5.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Calibri"/>
            <family val="2"/>
          </rPr>
          <t xml:space="preserve">
</t>
        </r>
      </text>
    </comment>
    <comment ref="A11" authorId="0" shapeId="0" xr:uid="{73929713-21E7-C64C-AB8D-D7D3FA525C43}">
      <text>
        <r>
          <rPr>
            <b/>
            <sz val="10"/>
            <color rgb="FF000000"/>
            <rFont val="Tahoma"/>
            <family val="2"/>
          </rPr>
          <t>Microsoft Office User:</t>
        </r>
        <r>
          <rPr>
            <sz val="10"/>
            <color rgb="FF000000"/>
            <rFont val="Tahoma"/>
            <family val="2"/>
          </rPr>
          <t xml:space="preserve">
</t>
        </r>
        <r>
          <rPr>
            <sz val="10"/>
            <color rgb="FF000000"/>
            <rFont val="Tahoma"/>
            <family val="2"/>
          </rPr>
          <t xml:space="preserve">1. Level of automation in scaling.
</t>
        </r>
        <r>
          <rPr>
            <sz val="10"/>
            <color rgb="FF000000"/>
            <rFont val="Tahoma"/>
            <family val="2"/>
          </rPr>
          <t xml:space="preserve">2. Level of automated load balancing.
</t>
        </r>
        <r>
          <rPr>
            <sz val="10"/>
            <color rgb="FF000000"/>
            <rFont val="Tahoma"/>
            <family val="2"/>
          </rPr>
          <t xml:space="preserve">3. Availability of scalability number and benchmark.
</t>
        </r>
        <r>
          <rPr>
            <sz val="10"/>
            <color rgb="FF000000"/>
            <rFont val="Tahoma"/>
            <family val="2"/>
          </rPr>
          <t xml:space="preserve">4. </t>
        </r>
        <r>
          <rPr>
            <sz val="10"/>
            <color rgb="FF000000"/>
            <rFont val="Tahoma"/>
            <family val="34"/>
          </rPr>
          <t xml:space="preserve">Time taken to start business logic node / cache node / data node / queue node
</t>
        </r>
        <r>
          <rPr>
            <sz val="10"/>
            <color rgb="FF000000"/>
            <rFont val="Calibri"/>
            <family val="2"/>
          </rPr>
          <t xml:space="preserve">5. </t>
        </r>
        <r>
          <rPr>
            <sz val="10"/>
            <color rgb="FF000000"/>
            <rFont val="Tahoma"/>
            <family val="34"/>
          </rPr>
          <t xml:space="preserve">Identified set of AWS service level scalability. I.e. No of concurrent Lambda executions, No of data service writes / reads per second, No of queue requests per second
</t>
        </r>
        <r>
          <rPr>
            <sz val="10"/>
            <color rgb="FF000000"/>
            <rFont val="Tahoma"/>
            <family val="34"/>
          </rPr>
          <t xml:space="preserve">5.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Calibri"/>
            <family val="2"/>
          </rPr>
          <t xml:space="preserve">
</t>
        </r>
      </text>
    </comment>
    <comment ref="A13" authorId="0" shapeId="0" xr:uid="{2B7AB540-1616-8343-9E4E-0CD47C7E6092}">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Calibri"/>
            <family val="2"/>
          </rPr>
          <t>Service access SLAs for API requests / UI actions / files processed defined</t>
        </r>
        <r>
          <rPr>
            <sz val="10"/>
            <color rgb="FF000000"/>
            <rFont val="Tahoma"/>
            <family val="2"/>
          </rPr>
          <t xml:space="preserve">
</t>
        </r>
        <r>
          <rPr>
            <sz val="10"/>
            <color rgb="FF000000"/>
            <rFont val="Tahoma"/>
            <family val="2"/>
          </rPr>
          <t xml:space="preserve">2. Identified the number of users / requests / records processed  per node (Business logic node / Cache node / Data node / Queue node)
</t>
        </r>
        <r>
          <rPr>
            <sz val="10"/>
            <color rgb="FF000000"/>
            <rFont val="Tahoma"/>
            <family val="2"/>
          </rPr>
          <t xml:space="preserve">3. Defined set of automated performance tests per SLA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text>
    </comment>
    <comment ref="A14" authorId="0" shapeId="0" xr:uid="{1FFEF26F-3C39-F542-B786-8BCFA57F991F}">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Calibri"/>
            <family val="2"/>
          </rPr>
          <t>Service access SLAs for API requests / UI actions / files processed defined</t>
        </r>
        <r>
          <rPr>
            <sz val="10"/>
            <color rgb="FF000000"/>
            <rFont val="Tahoma"/>
            <family val="2"/>
          </rPr>
          <t xml:space="preserve">
</t>
        </r>
        <r>
          <rPr>
            <sz val="10"/>
            <color rgb="FF000000"/>
            <rFont val="Tahoma"/>
            <family val="2"/>
          </rPr>
          <t xml:space="preserve">2. Identified the number of users / requests / records processed  per node (Business logic node / Cache node / Data node / Queue node)
</t>
        </r>
        <r>
          <rPr>
            <sz val="10"/>
            <color rgb="FF000000"/>
            <rFont val="Tahoma"/>
            <family val="2"/>
          </rPr>
          <t xml:space="preserve">3. Defined set of automated performance tests per SLA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text>
    </comment>
    <comment ref="A15" authorId="0" shapeId="0" xr:uid="{721F963B-45A5-684A-B809-4E347CD1C940}">
      <text>
        <r>
          <rPr>
            <b/>
            <sz val="10"/>
            <color rgb="FF000000"/>
            <rFont val="Tahoma"/>
            <family val="2"/>
          </rPr>
          <t>Microsoft Office User:</t>
        </r>
        <r>
          <rPr>
            <sz val="10"/>
            <color rgb="FF000000"/>
            <rFont val="Tahoma"/>
            <family val="2"/>
          </rPr>
          <t xml:space="preserve">
</t>
        </r>
        <r>
          <rPr>
            <sz val="11"/>
            <color rgb="FF000000"/>
            <rFont val="Calibri"/>
            <family val="2"/>
          </rPr>
          <t xml:space="preserve">1. Latency defined for API request / files processed / UI Actions
</t>
        </r>
        <r>
          <rPr>
            <sz val="11"/>
            <color rgb="FF000000"/>
            <rFont val="Calibri"/>
            <family val="2"/>
          </rPr>
          <t xml:space="preserve">2. List of latencies statistics for each API request / files processed / UI Actions
</t>
        </r>
        <r>
          <rPr>
            <sz val="11"/>
            <color rgb="FF000000"/>
            <rFont val="Calibri"/>
            <family val="2"/>
          </rPr>
          <t xml:space="preserve">3. Classification of product latency. I.e. IO Disk / IO Network / Computation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Tahoma"/>
            <family val="34"/>
          </rPr>
          <t xml:space="preserve">        correct sync vs async processing
</t>
        </r>
        <r>
          <rPr>
            <sz val="10"/>
            <color rgb="FF000000"/>
            <rFont val="Tahoma"/>
            <family val="34"/>
          </rPr>
          <t>5. Client Latency Optimization (Use of CDN, Edge Optimized APIs (CloudFrond Linked APIs)</t>
        </r>
      </text>
    </comment>
    <comment ref="A17" authorId="0" shapeId="0" xr:uid="{86CB7B7A-24BD-7845-8335-AA6D10A42BFA}">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Tahoma"/>
            <family val="2"/>
          </rPr>
          <t xml:space="preserve">Availability of estimated OPEX
</t>
        </r>
        <r>
          <rPr>
            <sz val="10"/>
            <color rgb="FF000000"/>
            <rFont val="Tahoma"/>
            <family val="2"/>
          </rPr>
          <t xml:space="preserve">2. Availability of cost comparisons for competing solutions
</t>
        </r>
        <r>
          <rPr>
            <sz val="10"/>
            <color rgb="FF000000"/>
            <rFont val="Tahoma"/>
            <family val="2"/>
          </rPr>
          <t xml:space="preserve">3. Availability of real of OPEX 
</t>
        </r>
        <r>
          <rPr>
            <sz val="10"/>
            <color rgb="FF000000"/>
            <rFont val="Tahoma"/>
            <family val="2"/>
          </rPr>
          <t>4. Defined set of system resource rules</t>
        </r>
      </text>
    </comment>
    <comment ref="A18" authorId="0" shapeId="0" xr:uid="{8E1DC856-71B7-5F40-9AA9-77501EA97623}">
      <text>
        <r>
          <rPr>
            <b/>
            <sz val="10"/>
            <color rgb="FF000000"/>
            <rFont val="Tahoma"/>
            <family val="2"/>
          </rPr>
          <t>Microsoft Office User:</t>
        </r>
        <r>
          <rPr>
            <sz val="10"/>
            <color rgb="FF000000"/>
            <rFont val="Tahoma"/>
            <family val="2"/>
          </rPr>
          <t xml:space="preserve">
</t>
        </r>
        <r>
          <rPr>
            <sz val="10"/>
            <color rgb="FF000000"/>
            <rFont val="Tahoma"/>
            <family val="2"/>
          </rPr>
          <t>1. Calculation of FT / HA additional cost for solution</t>
        </r>
      </text>
    </comment>
    <comment ref="A20" authorId="0" shapeId="0" xr:uid="{6DB2225D-63DE-2045-82AB-FD9D5A9FD162}">
      <text>
        <r>
          <rPr>
            <b/>
            <sz val="10"/>
            <color rgb="FF000000"/>
            <rFont val="Tahoma"/>
            <family val="2"/>
          </rPr>
          <t>Microsoft Office User:</t>
        </r>
        <r>
          <rPr>
            <sz val="10"/>
            <color rgb="FF000000"/>
            <rFont val="Tahoma"/>
            <family val="2"/>
          </rPr>
          <t xml:space="preserve">
</t>
        </r>
        <r>
          <rPr>
            <sz val="10"/>
            <color rgb="FF000000"/>
            <rFont val="Tahoma"/>
            <family val="2"/>
          </rPr>
          <t xml:space="preserve">1. Use of organization wide communication protocols / formats
</t>
        </r>
        <r>
          <rPr>
            <sz val="10"/>
            <color rgb="FF000000"/>
            <rFont val="Tahoma"/>
            <family val="2"/>
          </rPr>
          <t xml:space="preserve">2. Ease of integration 
</t>
        </r>
        <r>
          <rPr>
            <sz val="10"/>
            <color rgb="FF000000"/>
            <rFont val="Tahoma"/>
            <family val="2"/>
          </rPr>
          <t xml:space="preserve">    - complexity of integration process 
</t>
        </r>
        <r>
          <rPr>
            <sz val="10"/>
            <color rgb="FF000000"/>
            <rFont val="Tahoma"/>
            <family val="2"/>
          </rPr>
          <t xml:space="preserve">        - integration documents available (Availability of swagger for API), training material available, integration tooling available</t>
        </r>
      </text>
    </comment>
    <comment ref="A21" authorId="0" shapeId="0" xr:uid="{6E15DC12-E5CB-074A-9949-95C8C4187CB8}">
      <text>
        <r>
          <rPr>
            <b/>
            <sz val="10"/>
            <color rgb="FF000000"/>
            <rFont val="Tahoma"/>
            <family val="2"/>
          </rPr>
          <t>Microsoft Office User:</t>
        </r>
        <r>
          <rPr>
            <sz val="10"/>
            <color rgb="FF000000"/>
            <rFont val="Tahoma"/>
            <family val="2"/>
          </rPr>
          <t xml:space="preserve">
</t>
        </r>
        <r>
          <rPr>
            <sz val="10"/>
            <color rgb="FF000000"/>
            <rFont val="Tahoma"/>
            <family val="34"/>
          </rPr>
          <t xml:space="preserve">1. Use of organization wide communication protocols / formats
</t>
        </r>
        <r>
          <rPr>
            <sz val="10"/>
            <color rgb="FF000000"/>
            <rFont val="Tahoma"/>
            <family val="34"/>
          </rPr>
          <t xml:space="preserve">2. Ease of testing 
</t>
        </r>
        <r>
          <rPr>
            <sz val="10"/>
            <color rgb="FF000000"/>
            <rFont val="Tahoma"/>
            <family val="34"/>
          </rPr>
          <t xml:space="preserve">    - integration documents available (i.e Availability of swagger for API), training material available, client test suits available, test mocks available
</t>
        </r>
      </text>
    </comment>
    <comment ref="A23" authorId="0" shapeId="0" xr:uid="{CC1ECA16-2A13-8A49-BB09-8041A02ABA1E}">
      <text>
        <r>
          <rPr>
            <b/>
            <sz val="10"/>
            <color rgb="FF000000"/>
            <rFont val="Tahoma"/>
            <family val="2"/>
          </rPr>
          <t>Microsoft Office User:</t>
        </r>
        <r>
          <rPr>
            <sz val="10"/>
            <color rgb="FF000000"/>
            <rFont val="Tahoma"/>
            <family val="2"/>
          </rPr>
          <t xml:space="preserve">
</t>
        </r>
        <r>
          <rPr>
            <sz val="10"/>
            <color rgb="FF000000"/>
            <rFont val="Tahoma"/>
            <family val="2"/>
          </rPr>
          <t xml:space="preserve">1. IAM integration for users of the system
</t>
        </r>
        <r>
          <rPr>
            <sz val="10"/>
            <color rgb="FF000000"/>
            <rFont val="Tahoma"/>
            <family val="2"/>
          </rPr>
          <t xml:space="preserve">2. API authentication based on IAM / Avoid use of API Key / Secret even within VPC
</t>
        </r>
        <r>
          <rPr>
            <sz val="10"/>
            <color rgb="FF000000"/>
            <rFont val="Tahoma"/>
            <family val="2"/>
          </rPr>
          <t>3. Use of Cognito to integrate cooperate AD</t>
        </r>
      </text>
    </comment>
    <comment ref="A24" authorId="0" shapeId="0" xr:uid="{E21B4008-67D0-4F45-851B-7F0749C18865}">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5" authorId="0" shapeId="0" xr:uid="{122550CF-6AD3-1140-8911-F7ECA31719A7}">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6" authorId="0" shapeId="0" xr:uid="{2C658AF1-9BF3-9041-9ABF-76F32239348B}">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7" authorId="0" shapeId="0" xr:uid="{26ABA793-2CBC-254C-A680-6EC3AD058C07}">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8" authorId="0" shapeId="0" xr:uid="{8AB11FBE-7796-6048-80BA-87E164329AF7}">
      <text>
        <r>
          <rPr>
            <b/>
            <sz val="10"/>
            <color rgb="FF000000"/>
            <rFont val="Tahoma"/>
            <family val="2"/>
          </rPr>
          <t>Microsoft Office User:</t>
        </r>
        <r>
          <rPr>
            <sz val="10"/>
            <color rgb="FF000000"/>
            <rFont val="Tahoma"/>
            <family val="2"/>
          </rPr>
          <t xml:space="preserve">
</t>
        </r>
        <r>
          <rPr>
            <sz val="10"/>
            <color rgb="FF000000"/>
            <rFont val="Tahoma"/>
            <family val="2"/>
          </rPr>
          <t>1. Check for attacks. Standard internet security validations.</t>
        </r>
      </text>
    </comment>
    <comment ref="A29" authorId="0" shapeId="0" xr:uid="{65BDF3ED-F7FA-E84F-8ABF-717AFA7C01B1}">
      <text>
        <r>
          <rPr>
            <b/>
            <sz val="10"/>
            <color rgb="FF000000"/>
            <rFont val="Tahoma"/>
            <family val="2"/>
          </rPr>
          <t>Microsoft Office User:</t>
        </r>
        <r>
          <rPr>
            <sz val="10"/>
            <color rgb="FF000000"/>
            <rFont val="Tahoma"/>
            <family val="2"/>
          </rPr>
          <t xml:space="preserve">
</t>
        </r>
        <r>
          <rPr>
            <sz val="10"/>
            <color rgb="FF000000"/>
            <rFont val="Tahoma"/>
            <family val="2"/>
          </rPr>
          <t xml:space="preserve">1. PCI compliant
</t>
        </r>
        <r>
          <rPr>
            <sz val="10"/>
            <color rgb="FF000000"/>
            <rFont val="Tahoma"/>
            <family val="2"/>
          </rPr>
          <t xml:space="preserve">2. GDPR compliant
</t>
        </r>
      </text>
    </comment>
    <comment ref="A33" authorId="0" shapeId="0" xr:uid="{E087F104-691B-254B-87F0-BE85192824A1}">
      <text>
        <r>
          <rPr>
            <b/>
            <sz val="10"/>
            <color rgb="FF000000"/>
            <rFont val="Tahoma"/>
            <family val="2"/>
          </rPr>
          <t>Microsoft Office User:</t>
        </r>
        <r>
          <rPr>
            <sz val="10"/>
            <color rgb="FF000000"/>
            <rFont val="Tahoma"/>
            <family val="2"/>
          </rPr>
          <t xml:space="preserve">
</t>
        </r>
        <r>
          <rPr>
            <sz val="10"/>
            <color rgb="FF000000"/>
            <rFont val="Tahoma"/>
            <family val="34"/>
          </rPr>
          <t xml:space="preserve">1. Keep records of changes to data 
</t>
        </r>
        <r>
          <rPr>
            <sz val="10"/>
            <color rgb="FF000000"/>
            <rFont val="Tahoma"/>
            <family val="34"/>
          </rPr>
          <t>2. Defined data integrity requirement</t>
        </r>
      </text>
    </comment>
    <comment ref="A35" authorId="0" shapeId="0" xr:uid="{F72A5DDD-B82D-9841-8D67-371147CE4E6E}">
      <text>
        <r>
          <rPr>
            <b/>
            <sz val="10"/>
            <color rgb="FF000000"/>
            <rFont val="Tahoma"/>
            <family val="2"/>
          </rPr>
          <t>Microsoft Office User:</t>
        </r>
        <r>
          <rPr>
            <sz val="10"/>
            <color rgb="FF000000"/>
            <rFont val="Tahoma"/>
            <family val="2"/>
          </rPr>
          <t xml:space="preserve">
</t>
        </r>
        <r>
          <rPr>
            <sz val="10"/>
            <color rgb="FF000000"/>
            <rFont val="Tahoma"/>
            <family val="2"/>
          </rPr>
          <t xml:space="preserve">1. Availability of various user guides
</t>
        </r>
        <r>
          <rPr>
            <sz val="10"/>
            <color rgb="FF000000"/>
            <rFont val="Tahoma"/>
            <family val="2"/>
          </rPr>
          <t xml:space="preserve">    API documentation, context based help, chat bots, training materials, FAQs 
</t>
        </r>
        <r>
          <rPr>
            <sz val="10"/>
            <color rgb="FF000000"/>
            <rFont val="Tahoma"/>
            <family val="2"/>
          </rPr>
          <t xml:space="preserve">2. Availability of real statistics of time required </t>
        </r>
      </text>
    </comment>
    <comment ref="A36" authorId="0" shapeId="0" xr:uid="{77614AC3-76F8-BE47-ADAD-19FC4B7B8543}">
      <text>
        <r>
          <rPr>
            <b/>
            <sz val="10"/>
            <color rgb="FF000000"/>
            <rFont val="Tahoma"/>
            <family val="2"/>
          </rPr>
          <t>Microsoft Office User:</t>
        </r>
        <r>
          <rPr>
            <sz val="10"/>
            <color rgb="FF000000"/>
            <rFont val="Tahoma"/>
            <family val="2"/>
          </rPr>
          <t xml:space="preserve">
</t>
        </r>
        <r>
          <rPr>
            <sz val="10"/>
            <color rgb="FF000000"/>
            <rFont val="Tahoma"/>
            <family val="2"/>
          </rPr>
          <t xml:space="preserve">1. Availability of intuitive interfaces for UI
</t>
        </r>
        <r>
          <rPr>
            <sz val="10"/>
            <color rgb="FF000000"/>
            <rFont val="Tahoma"/>
            <family val="2"/>
          </rPr>
          <t xml:space="preserve">2. User notifications / reminders
</t>
        </r>
        <r>
          <rPr>
            <sz val="10"/>
            <color rgb="FF000000"/>
            <rFont val="Tahoma"/>
            <family val="2"/>
          </rPr>
          <t xml:space="preserve">3. Evaluation real statistics of test users
</t>
        </r>
      </text>
    </comment>
    <comment ref="A37" authorId="0" shapeId="0" xr:uid="{35A6E317-B17C-DF4E-AD12-17E38C0BE403}">
      <text>
        <r>
          <rPr>
            <b/>
            <sz val="10"/>
            <color rgb="FF000000"/>
            <rFont val="Tahoma"/>
            <family val="2"/>
          </rPr>
          <t>Microsoft Office User:</t>
        </r>
        <r>
          <rPr>
            <sz val="10"/>
            <color rgb="FF000000"/>
            <rFont val="Tahoma"/>
            <family val="2"/>
          </rPr>
          <t xml:space="preserve">
</t>
        </r>
        <r>
          <rPr>
            <sz val="10"/>
            <color rgb="FF000000"/>
            <rFont val="Tahoma"/>
            <family val="2"/>
          </rPr>
          <t xml:space="preserve">Flow time = End Time - Start Time
</t>
        </r>
        <r>
          <rPr>
            <sz val="10"/>
            <color rgb="FF000000"/>
            <rFont val="Tahoma"/>
            <family val="2"/>
          </rPr>
          <t>AVG(Flow Time of each user)</t>
        </r>
      </text>
    </comment>
    <comment ref="A40" authorId="0" shapeId="0" xr:uid="{6EB596B0-4575-C842-AAB6-3C51F43F7106}">
      <text>
        <r>
          <rPr>
            <b/>
            <sz val="10"/>
            <color rgb="FF000000"/>
            <rFont val="Tahoma"/>
            <family val="2"/>
          </rPr>
          <t>Microsoft Office User:</t>
        </r>
        <r>
          <rPr>
            <sz val="10"/>
            <color rgb="FF000000"/>
            <rFont val="Tahoma"/>
            <family val="2"/>
          </rPr>
          <t xml:space="preserve">
</t>
        </r>
        <r>
          <rPr>
            <sz val="10"/>
            <color rgb="FF000000"/>
            <rFont val="Tahoma"/>
            <family val="2"/>
          </rPr>
          <t xml:space="preserve">1. Number of AWS services integrations. How many could be mitigated alternative solutions
</t>
        </r>
        <r>
          <rPr>
            <sz val="10"/>
            <color rgb="FF000000"/>
            <rFont val="Tahoma"/>
            <family val="2"/>
          </rPr>
          <t xml:space="preserve">2. Number of wrapped AWS integrations vs none wrapped AWS integrations
</t>
        </r>
        <r>
          <rPr>
            <sz val="10"/>
            <color rgb="FF000000"/>
            <rFont val="Tahoma"/>
            <family val="2"/>
          </rPr>
          <t>3. Number of data sources / services native to AWS used Vs available alternative none native services</t>
        </r>
      </text>
    </comment>
    <comment ref="A42" authorId="0" shapeId="0" xr:uid="{CF622264-C5CC-224C-A0D8-07B24FBC398D}">
      <text>
        <r>
          <rPr>
            <b/>
            <sz val="10"/>
            <color rgb="FF000000"/>
            <rFont val="Tahoma"/>
            <family val="2"/>
          </rPr>
          <t>Microsoft Office User:</t>
        </r>
        <r>
          <rPr>
            <sz val="10"/>
            <color rgb="FF000000"/>
            <rFont val="Tahoma"/>
            <family val="2"/>
          </rPr>
          <t xml:space="preserve">
</t>
        </r>
        <r>
          <rPr>
            <sz val="10"/>
            <color rgb="FF000000"/>
            <rFont val="Tahoma"/>
            <family val="2"/>
          </rPr>
          <t xml:space="preserve">1. Monitoring and prevention measures available
</t>
        </r>
        <r>
          <rPr>
            <sz val="10"/>
            <color rgb="FF000000"/>
            <rFont val="Tahoma"/>
            <family val="2"/>
          </rPr>
          <t xml:space="preserve">2. System thresh-holds defined
</t>
        </r>
        <r>
          <rPr>
            <sz val="10"/>
            <color rgb="FF000000"/>
            <rFont val="Tahoma"/>
            <family val="2"/>
          </rPr>
          <t>3. Automated prediction and correction</t>
        </r>
      </text>
    </comment>
    <comment ref="A46" authorId="0" shapeId="0" xr:uid="{59A9728C-D3D8-2642-8FAD-59AED68984EA}">
      <text>
        <r>
          <rPr>
            <b/>
            <sz val="10"/>
            <color rgb="FF000000"/>
            <rFont val="Tahoma"/>
            <family val="2"/>
          </rPr>
          <t>Microsoft Office User:</t>
        </r>
        <r>
          <rPr>
            <sz val="10"/>
            <color rgb="FF000000"/>
            <rFont val="Tahoma"/>
            <family val="2"/>
          </rPr>
          <t xml:space="preserve">
</t>
        </r>
        <r>
          <rPr>
            <sz val="10"/>
            <color rgb="FF000000"/>
            <rFont val="Tahoma"/>
            <family val="2"/>
          </rPr>
          <t xml:space="preserve">1. Centralized logs
</t>
        </r>
        <r>
          <rPr>
            <sz val="10"/>
            <color rgb="FF000000"/>
            <rFont val="Tahoma"/>
            <family val="2"/>
          </rPr>
          <t xml:space="preserve">2. Tools / procedures to analyze text patterns in logs
</t>
        </r>
        <r>
          <rPr>
            <sz val="10"/>
            <color rgb="FF000000"/>
            <rFont val="Tahoma"/>
            <family val="2"/>
          </rPr>
          <t>3. Ability to see timings / no of requests (Latency / 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16" authorId="0" shapeId="0" xr:uid="{A7BABC3E-4729-644A-966E-83550D8ECEAB}">
      <text>
        <r>
          <rPr>
            <b/>
            <sz val="10"/>
            <color rgb="FF000000"/>
            <rFont val="Tahoma"/>
            <family val="2"/>
          </rPr>
          <t>Microsoft Office User:</t>
        </r>
        <r>
          <rPr>
            <sz val="10"/>
            <color rgb="FF000000"/>
            <rFont val="Tahoma"/>
            <family val="2"/>
          </rPr>
          <t xml:space="preserve">
</t>
        </r>
        <r>
          <rPr>
            <sz val="10"/>
            <color rgb="FF000000"/>
            <rFont val="Tahoma"/>
            <family val="2"/>
          </rPr>
          <t xml:space="preserve">1. Conceptual Integrity (Code standards)
</t>
        </r>
        <r>
          <rPr>
            <sz val="10"/>
            <color rgb="FF000000"/>
            <rFont val="Tahoma"/>
            <family val="2"/>
          </rPr>
          <t xml:space="preserve">2. Potential bug by code analysis
</t>
        </r>
        <r>
          <rPr>
            <sz val="10"/>
            <color rgb="FF000000"/>
            <rFont val="Tahoma"/>
            <family val="2"/>
          </rPr>
          <t xml:space="preserve">3. Code smells
</t>
        </r>
        <r>
          <rPr>
            <sz val="10"/>
            <color rgb="FF000000"/>
            <rFont val="Tahoma"/>
            <family val="2"/>
          </rPr>
          <t xml:space="preserve">4. Code complexity
</t>
        </r>
        <r>
          <rPr>
            <sz val="10"/>
            <color rgb="FF000000"/>
            <rFont val="Tahoma"/>
            <family val="2"/>
          </rPr>
          <t xml:space="preserve">
</t>
        </r>
        <r>
          <rPr>
            <sz val="10"/>
            <color rgb="FF000000"/>
            <rFont val="Tahoma"/>
            <family val="2"/>
          </rPr>
          <t>Except security rules</t>
        </r>
      </text>
    </comment>
    <comment ref="A26" authorId="0" shapeId="0" xr:uid="{23E7B5E5-86CE-F44C-9D1E-141C86D9536C}">
      <text>
        <r>
          <rPr>
            <b/>
            <sz val="10"/>
            <color rgb="FF000000"/>
            <rFont val="Tahoma"/>
            <family val="2"/>
          </rPr>
          <t>Microsoft Office User:</t>
        </r>
        <r>
          <rPr>
            <sz val="10"/>
            <color rgb="FF000000"/>
            <rFont val="Tahoma"/>
            <family val="2"/>
          </rPr>
          <t xml:space="preserve">
</t>
        </r>
        <r>
          <rPr>
            <sz val="10"/>
            <color rgb="FF000000"/>
            <rFont val="Tahoma"/>
            <family val="2"/>
          </rPr>
          <t>Sonar security covers part of the rules</t>
        </r>
      </text>
    </comment>
    <comment ref="A30" authorId="0" shapeId="0" xr:uid="{E741F6A7-D5A1-B94D-A11D-08D6576E214E}">
      <text>
        <r>
          <rPr>
            <b/>
            <sz val="10"/>
            <color rgb="FF000000"/>
            <rFont val="Tahoma"/>
            <family val="2"/>
          </rPr>
          <t>Microsoft Office User:</t>
        </r>
        <r>
          <rPr>
            <sz val="10"/>
            <color rgb="FF000000"/>
            <rFont val="Tahoma"/>
            <family val="2"/>
          </rPr>
          <t xml:space="preserve">
</t>
        </r>
        <r>
          <rPr>
            <sz val="10"/>
            <color rgb="FF000000"/>
            <rFont val="Tahoma"/>
            <family val="2"/>
          </rPr>
          <t xml:space="preserve">1. Lead time to on board a new development member
</t>
        </r>
        <r>
          <rPr>
            <sz val="10"/>
            <color rgb="FF000000"/>
            <rFont val="Tahoma"/>
            <family val="2"/>
          </rPr>
          <t>2. How easy is to look at code &amp; tests and understand the code for expert developer</t>
        </r>
      </text>
    </comment>
  </commentList>
</comments>
</file>

<file path=xl/sharedStrings.xml><?xml version="1.0" encoding="utf-8"?>
<sst xmlns="http://schemas.openxmlformats.org/spreadsheetml/2006/main" count="270" uniqueCount="130">
  <si>
    <t>Product  Name</t>
  </si>
  <si>
    <t>Product Lifecycle</t>
  </si>
  <si>
    <t>Development</t>
  </si>
  <si>
    <t>1.0.0</t>
  </si>
  <si>
    <t>Overall Qualifier %</t>
  </si>
  <si>
    <t>Perspective Qualifier %</t>
  </si>
  <si>
    <t>No of Risks</t>
  </si>
  <si>
    <t>No of Trade-offs</t>
  </si>
  <si>
    <t>User Perspective</t>
  </si>
  <si>
    <t>Priority</t>
  </si>
  <si>
    <t>Evaluation</t>
  </si>
  <si>
    <t>Qualifier</t>
  </si>
  <si>
    <t>Full Qualifier</t>
  </si>
  <si>
    <t>Details</t>
  </si>
  <si>
    <t>Failure Tolerance (FT) / High Availability (HA) Focus</t>
  </si>
  <si>
    <t>HIGH</t>
  </si>
  <si>
    <t>Risk</t>
  </si>
  <si>
    <t>Disaster Recovery (DR) Focus</t>
  </si>
  <si>
    <t>Less than X mins of data loss (RPO)</t>
  </si>
  <si>
    <t>Recovered within X mins  (RTO)</t>
  </si>
  <si>
    <t>LOW</t>
  </si>
  <si>
    <t>Sensitivity Point</t>
  </si>
  <si>
    <t>Scalability Focus</t>
  </si>
  <si>
    <t>X mins to upscale or down scale new load levels</t>
  </si>
  <si>
    <t>Performance Focus</t>
  </si>
  <si>
    <t>X of concurrent users / API requests / records processed catered in the system</t>
  </si>
  <si>
    <t>MEDIUM</t>
  </si>
  <si>
    <t>Non-Risk</t>
  </si>
  <si>
    <t>X latency per API request / files processed / UI action</t>
  </si>
  <si>
    <t>NA</t>
  </si>
  <si>
    <t>Runtime Cost Focus</t>
  </si>
  <si>
    <t xml:space="preserve">The OPEX of the Product must not exceed $X </t>
  </si>
  <si>
    <t>The cost of FT / HA focus must not exceed $Y</t>
  </si>
  <si>
    <t>Interoperability Focus</t>
  </si>
  <si>
    <t>Complexity of integrating single interface by an external developer is X mins</t>
  </si>
  <si>
    <t>Complexity of testing an integration point is X hours</t>
  </si>
  <si>
    <t>Security Focus</t>
  </si>
  <si>
    <t>There should be at least 1 security inspection carried out per release</t>
  </si>
  <si>
    <t>Adherence to data integrity concerns</t>
  </si>
  <si>
    <t>Usability Focus</t>
  </si>
  <si>
    <t>User takes X mins to understand and use new feature</t>
  </si>
  <si>
    <t>Average no of errors / mistakes / delays users do for particular flow should be X</t>
  </si>
  <si>
    <t>Average time taken to complete a particular flow should be less than X mins</t>
  </si>
  <si>
    <t>Cloud Lock-out Focus</t>
  </si>
  <si>
    <t>Data / Application Infrastructure Risks Vs  Mitigation</t>
  </si>
  <si>
    <t>Operability / Supportability Focus</t>
  </si>
  <si>
    <t>Operability matrixes can be used to understand the state of the Software</t>
  </si>
  <si>
    <t>Time taken to investigate a potential critical error should be less than X hours</t>
  </si>
  <si>
    <t>Developer Perspective</t>
  </si>
  <si>
    <t>Reusability Focus</t>
  </si>
  <si>
    <t>The extent of identifying reusable components</t>
  </si>
  <si>
    <t>The amount of reused modules</t>
  </si>
  <si>
    <t>Trade-Off</t>
  </si>
  <si>
    <t>The amount of shared modules / frameworks</t>
  </si>
  <si>
    <t>Testability Focus</t>
  </si>
  <si>
    <t>Unit Test coverage is &gt; 80%</t>
  </si>
  <si>
    <t>Automation of Functional Tests (Frontend + REST APIs)</t>
  </si>
  <si>
    <t>Automation of Performance test framework</t>
  </si>
  <si>
    <t>Low coupling in components (proper decompositions)</t>
  </si>
  <si>
    <t>Low level of Sonar violations (Need to define exceptions here)</t>
  </si>
  <si>
    <t>Use of organization technology standards</t>
  </si>
  <si>
    <t>Use of approved set of tools</t>
  </si>
  <si>
    <t xml:space="preserve">Use of semantic versioning </t>
  </si>
  <si>
    <t>Secure coding practices</t>
  </si>
  <si>
    <t>Static code analysis for security done (e.g. Fortify)</t>
  </si>
  <si>
    <t>Security testing of the infrastructure in staging/prod (e.g. Tenable.io via Cyber Security)</t>
  </si>
  <si>
    <t>Ease of Development Focus</t>
  </si>
  <si>
    <t>Teams measurement of ease of development</t>
  </si>
  <si>
    <t>Time to Deliver Focus</t>
  </si>
  <si>
    <t>Observed reduction of story points for similar scope feature</t>
  </si>
  <si>
    <t>Description</t>
  </si>
  <si>
    <t>Number</t>
  </si>
  <si>
    <t>Stage</t>
  </si>
  <si>
    <t>The new software architecture is in development</t>
  </si>
  <si>
    <t>Testing</t>
  </si>
  <si>
    <t>The new software architecture is  in internal testing</t>
  </si>
  <si>
    <t>Pre-production</t>
  </si>
  <si>
    <t xml:space="preserve">The new software architecture is in customer's final evaluation </t>
  </si>
  <si>
    <t>Production</t>
  </si>
  <si>
    <t>The new software architecture is in  live. may be too late</t>
  </si>
  <si>
    <t>TEMPLATE</t>
  </si>
  <si>
    <t>Template Version</t>
  </si>
  <si>
    <t>Use of Docker / Support multi container orchestration</t>
  </si>
  <si>
    <t xml:space="preserve"> Automated CI/CD for Dev / Stage / Prod </t>
  </si>
  <si>
    <t>Engineering Rigor &amp; Maintainability Focus</t>
  </si>
  <si>
    <t>Architectural Rigor Focus</t>
  </si>
  <si>
    <t>All PCI data should comply to standards</t>
  </si>
  <si>
    <t>GDPR Compliance and personal data should comply to standards</t>
  </si>
  <si>
    <t>Product Version</t>
  </si>
  <si>
    <t>There should not be any application endpoint without TLS 1.2</t>
  </si>
  <si>
    <t>Unavailability of system X</t>
  </si>
  <si>
    <t>???</t>
  </si>
  <si>
    <t>?</t>
  </si>
  <si>
    <t>API documentation</t>
  </si>
  <si>
    <t>There should be only 1 system to define users and another system to control user access (optional)</t>
  </si>
  <si>
    <t>There should not be any application endpoint without Authentication and Authorization</t>
  </si>
  <si>
    <t>Web Accessibility (W3C WAI / WCAG)</t>
  </si>
  <si>
    <t>Less then X hours of system unavailability for MONTH</t>
  </si>
  <si>
    <t xml:space="preserve"> Evidence of tests having defined boundary / few inputs and  one output</t>
  </si>
  <si>
    <t>Ability to trace a request flow end to end (Correlation ID)</t>
  </si>
  <si>
    <t>High cohesiveness in components (proper abstraction and generalization principles, LSP, etc.)</t>
  </si>
  <si>
    <t>Review of cloud deployment scripts (I.e. CloudFormation)</t>
  </si>
  <si>
    <t>No of Sensitivity Points</t>
  </si>
  <si>
    <t>Availability proper AWS network architecture</t>
  </si>
  <si>
    <t>Defined house keeping / archival process and retention</t>
  </si>
  <si>
    <t>Support both horizontal and vertical scalability</t>
  </si>
  <si>
    <t>Architecture Attribute Qualifier %</t>
  </si>
  <si>
    <t>Project requirement insist HIGH alignment to architecture attribute</t>
  </si>
  <si>
    <t>Project requirement insist MEDIUM alignment to architecture attribute</t>
  </si>
  <si>
    <t>Project requirement insist LOW alignment to architecture attribute</t>
  </si>
  <si>
    <t>This architecture is not applicable for the software</t>
  </si>
  <si>
    <t>Scarifies of one architecture attribute for another architecture attribute. I.e. Limit the new user on the system if high number of requests coming from a user. If one architecture attribute is marked as Trade-Off based on another architecture attribute while priority is HIGH for the first architecture attribute, that means the architecture has created a negative impact on the software.</t>
  </si>
  <si>
    <t>Change of one architecture attribute could impact another architecture attribute. I.e. Increase of no of requests could increase latency. If one architecture attribute is marked as Sensitive Point based on another architecture attribute while priority is HIGH for the first architecture attribute , that means the architecture has created a negative impact on the software.</t>
  </si>
  <si>
    <t>Meets the architecture objective required by the software using  the defined architecture</t>
  </si>
  <si>
    <t>Does not meet the architecture objective required by the software using the defined architecture</t>
  </si>
  <si>
    <t>Architecture Attribute Priority</t>
  </si>
  <si>
    <t>Use of VPN to access internal APIs / applications</t>
  </si>
  <si>
    <t>Sysco GO deployments</t>
  </si>
  <si>
    <t>Managed Service response to AWS raised events</t>
  </si>
  <si>
    <t>Up to date patching of  software</t>
  </si>
  <si>
    <t>Availability of scheduled snapshots of resources</t>
  </si>
  <si>
    <t>Timely renewal of certificates</t>
  </si>
  <si>
    <t>V0.5 - Change the initial value for NA to 6</t>
  </si>
  <si>
    <t>Template Change History</t>
  </si>
  <si>
    <t>Use of GitFlow</t>
  </si>
  <si>
    <t>V0.5 - Dev perspective "Use of GitFlow introduced"</t>
  </si>
  <si>
    <t>V0.5 - Renamed Security to Dev Security in Dev Perse</t>
  </si>
  <si>
    <t>V0.5 - Add Well architecture tool check for Cloud gov</t>
  </si>
  <si>
    <t>Monitoring of compliance requirements (Cloud Governance) (AWS Well Architected Questionnaire)</t>
  </si>
  <si>
    <t>Dev Security Focus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</si>
</sst>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b/>
      <sz val="12"/>
      <color theme="1"/>
      <name val="Calibri"/>
      <family val="2"/>
      <scheme val="minor"/>
    </font>
    <font>
      <sz val="10"/>
      <color rgb="FF000000"/>
      <name val="Tahoma"/>
      <family val="2"/>
    </font>
    <font>
      <b/>
      <sz val="10"/>
      <color rgb="FF000000"/>
      <name val="Tahoma"/>
      <family val="2"/>
    </font>
    <font>
      <sz val="11"/>
      <color rgb="FF333333"/>
      <name val="Calibri"/>
      <family val="2"/>
      <scheme val="minor"/>
    </font>
    <font>
      <b/>
      <sz val="12"/>
      <color rgb="FF333333"/>
      <name val="Calibri"/>
      <family val="2"/>
      <scheme val="minor"/>
    </font>
    <font>
      <b/>
      <sz val="11"/>
      <color rgb="FF333333"/>
      <name val="Calibri"/>
      <family val="2"/>
      <scheme val="minor"/>
    </font>
    <font>
      <sz val="10"/>
      <color rgb="FF000000"/>
      <name val="Calibri"/>
      <family val="2"/>
    </font>
    <font>
      <sz val="11"/>
      <color rgb="FF000000"/>
      <name val="Calibri"/>
      <family val="2"/>
    </font>
    <font>
      <sz val="10"/>
      <color rgb="FF000000"/>
      <name val="Tahoma"/>
      <family val="34"/>
    </font>
    <font>
      <b/>
      <sz val="11"/>
      <color rgb="FFFF0000"/>
      <name val="Calibri"/>
      <family val="2"/>
      <scheme val="minor"/>
    </font>
    <font>
      <sz val="11"/>
      <color theme="2"/>
      <name val="Calibri"/>
      <family val="2"/>
      <scheme val="minor"/>
    </font>
    <font>
      <sz val="13"/>
      <color rgb="FF242729"/>
      <name val="Consolas"/>
      <family val="2"/>
    </font>
    <font>
      <sz val="11"/>
      <color rgb="FFFF0000"/>
      <name val="Calibri"/>
      <family val="2"/>
      <scheme val="minor"/>
    </font>
    <font>
      <sz val="11"/>
      <color rgb="FF424242"/>
      <name val="Calibri"/>
      <family val="2"/>
      <scheme val="minor"/>
    </font>
    <font>
      <sz val="12"/>
      <color rgb="FF000000"/>
      <name val="Calibri"/>
      <family val="2"/>
    </font>
    <font>
      <sz val="11"/>
      <color rgb="FF000000"/>
      <name val="Calibri"/>
      <family val="2"/>
      <scheme val="minor"/>
    </font>
  </fonts>
  <fills count="5">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32">
    <xf numFmtId="0" fontId="0" fillId="0" borderId="0" xfId="0"/>
    <xf numFmtId="0" fontId="1"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1" fillId="0" borderId="0" xfId="0" applyFont="1" applyAlignment="1">
      <alignment vertical="top"/>
    </xf>
    <xf numFmtId="0" fontId="0" fillId="0" borderId="0" xfId="0" applyAlignment="1">
      <alignment vertical="top"/>
    </xf>
    <xf numFmtId="0" fontId="0" fillId="0" borderId="0" xfId="0" applyFont="1" applyAlignment="1">
      <alignment horizontal="left" wrapText="1" indent="1"/>
    </xf>
    <xf numFmtId="0" fontId="0" fillId="0" borderId="0" xfId="0" applyAlignment="1">
      <alignment horizontal="left" indent="1"/>
    </xf>
    <xf numFmtId="0" fontId="0" fillId="0" borderId="0" xfId="0" applyFont="1" applyAlignment="1">
      <alignment horizontal="left" indent="1"/>
    </xf>
    <xf numFmtId="0" fontId="0" fillId="0" borderId="0" xfId="0" applyAlignment="1">
      <alignment horizontal="left" vertical="top"/>
    </xf>
    <xf numFmtId="0" fontId="11" fillId="0" borderId="0" xfId="0" applyFont="1"/>
    <xf numFmtId="0" fontId="12" fillId="0" borderId="0" xfId="0" applyFont="1"/>
    <xf numFmtId="0" fontId="13" fillId="0" borderId="0" xfId="0" applyFont="1"/>
    <xf numFmtId="0" fontId="14" fillId="0" borderId="0" xfId="0" applyFont="1"/>
    <xf numFmtId="0" fontId="11" fillId="0" borderId="0" xfId="0" applyFont="1" applyAlignment="1">
      <alignment horizontal="left" vertical="top"/>
    </xf>
    <xf numFmtId="0" fontId="2" fillId="2" borderId="0" xfId="0" applyFont="1" applyFill="1" applyAlignment="1">
      <alignment wrapText="1"/>
    </xf>
    <xf numFmtId="0" fontId="1" fillId="2" borderId="0" xfId="0" applyFont="1" applyFill="1"/>
    <xf numFmtId="0" fontId="1" fillId="2" borderId="0" xfId="0" applyFont="1" applyFill="1" applyAlignment="1">
      <alignment wrapText="1"/>
    </xf>
    <xf numFmtId="0" fontId="0" fillId="2" borderId="0" xfId="0" applyFill="1"/>
    <xf numFmtId="0" fontId="1" fillId="3" borderId="0" xfId="0" applyFont="1" applyFill="1" applyAlignment="1">
      <alignment horizontal="left" wrapText="1" indent="1"/>
    </xf>
    <xf numFmtId="0" fontId="6" fillId="2" borderId="0" xfId="0" applyFont="1" applyFill="1"/>
    <xf numFmtId="0" fontId="7" fillId="4" borderId="0" xfId="0" applyFont="1" applyFill="1" applyAlignment="1">
      <alignment horizontal="left" indent="1"/>
    </xf>
    <xf numFmtId="0" fontId="5" fillId="0" borderId="0" xfId="0" applyFont="1" applyAlignment="1">
      <alignment horizontal="left" vertical="top" indent="2"/>
    </xf>
    <xf numFmtId="0" fontId="15" fillId="0" borderId="0" xfId="0" applyFont="1" applyAlignment="1">
      <alignment horizontal="left" vertical="top" indent="2"/>
    </xf>
    <xf numFmtId="0" fontId="5" fillId="0" borderId="0" xfId="0" applyFont="1" applyAlignment="1">
      <alignment horizontal="left" vertical="top" wrapText="1" indent="2"/>
    </xf>
    <xf numFmtId="0" fontId="14" fillId="0" borderId="0" xfId="0" applyFont="1" applyAlignment="1">
      <alignment vertical="top" wrapText="1"/>
    </xf>
    <xf numFmtId="0" fontId="0" fillId="0" borderId="0" xfId="0" applyAlignment="1">
      <alignment horizontal="left" vertical="top" wrapText="1" indent="2"/>
    </xf>
    <xf numFmtId="0" fontId="0" fillId="0" borderId="0" xfId="0" applyFont="1" applyAlignment="1">
      <alignment horizontal="left" vertical="top" wrapText="1" indent="2"/>
    </xf>
    <xf numFmtId="0" fontId="17" fillId="0" borderId="0" xfId="0" applyFont="1" applyAlignment="1">
      <alignment horizontal="left" vertical="top" wrapText="1" indent="2"/>
    </xf>
    <xf numFmtId="0" fontId="17" fillId="0" borderId="0" xfId="0" applyFont="1" applyAlignment="1">
      <alignment vertical="top" wrapText="1"/>
    </xf>
    <xf numFmtId="0" fontId="17" fillId="0" borderId="0" xfId="0" applyFont="1"/>
  </cellXfs>
  <cellStyles count="1">
    <cellStyle name="Normal" xfId="0" builtinId="0"/>
  </cellStyles>
  <dxfs count="14">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9296400</xdr:colOff>
          <xdr:row>1</xdr:row>
          <xdr:rowOff>25400</xdr:rowOff>
        </xdr:from>
        <xdr:to>
          <xdr:col>7</xdr:col>
          <xdr:colOff>0</xdr:colOff>
          <xdr:row>1</xdr:row>
          <xdr:rowOff>165100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DuplicateRow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25400</xdr:rowOff>
        </xdr:from>
        <xdr:to>
          <xdr:col>7</xdr:col>
          <xdr:colOff>114300</xdr:colOff>
          <xdr:row>1</xdr:row>
          <xdr:rowOff>165100</xdr:rowOff>
        </xdr:to>
        <xdr:sp macro="" textlink="">
          <xdr:nvSpPr>
            <xdr:cNvPr id="3079" name="Button 7" descr="DuplicateRow"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DuplicateRow</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326E2-FF9D-4852-B78E-7239747D9A42}">
  <sheetPr codeName="Sheet1"/>
  <dimension ref="A1:H37"/>
  <sheetViews>
    <sheetView tabSelected="1" workbookViewId="0">
      <selection activeCell="A2" sqref="A2"/>
    </sheetView>
  </sheetViews>
  <sheetFormatPr baseColWidth="10" defaultColWidth="8.83203125" defaultRowHeight="15" x14ac:dyDescent="0.2"/>
  <cols>
    <col min="1" max="1" width="42.33203125" customWidth="1"/>
    <col min="2" max="2" width="15" customWidth="1"/>
    <col min="3" max="3" width="6.1640625" customWidth="1"/>
    <col min="4" max="5" width="7.5" customWidth="1"/>
    <col min="6" max="6" width="10.1640625" customWidth="1"/>
    <col min="7" max="7" width="16.33203125" customWidth="1"/>
    <col min="8" max="8" width="12.83203125" customWidth="1"/>
  </cols>
  <sheetData>
    <row r="1" spans="1:8" x14ac:dyDescent="0.2">
      <c r="A1" s="1" t="s">
        <v>0</v>
      </c>
      <c r="B1" s="15" t="s">
        <v>80</v>
      </c>
    </row>
    <row r="2" spans="1:8" x14ac:dyDescent="0.2">
      <c r="A2" s="1"/>
      <c r="B2" s="10"/>
    </row>
    <row r="3" spans="1:8" x14ac:dyDescent="0.2">
      <c r="A3" s="1" t="s">
        <v>1</v>
      </c>
      <c r="B3" s="10" t="s">
        <v>2</v>
      </c>
    </row>
    <row r="4" spans="1:8" x14ac:dyDescent="0.2">
      <c r="A4" s="1" t="s">
        <v>88</v>
      </c>
      <c r="B4" s="10" t="s">
        <v>3</v>
      </c>
      <c r="D4" s="1"/>
    </row>
    <row r="5" spans="1:8" x14ac:dyDescent="0.2">
      <c r="A5" s="1" t="s">
        <v>81</v>
      </c>
      <c r="B5" s="10">
        <v>5</v>
      </c>
      <c r="D5" s="1"/>
    </row>
    <row r="6" spans="1:8" x14ac:dyDescent="0.2">
      <c r="A6" s="1"/>
      <c r="B6" s="10"/>
    </row>
    <row r="7" spans="1:8" x14ac:dyDescent="0.2">
      <c r="A7" s="11" t="s">
        <v>4</v>
      </c>
      <c r="B7" s="11">
        <f>AVERAGE(B10:B11)</f>
        <v>41.5</v>
      </c>
    </row>
    <row r="9" spans="1:8" x14ac:dyDescent="0.2">
      <c r="A9" s="1" t="s">
        <v>5</v>
      </c>
    </row>
    <row r="10" spans="1:8" x14ac:dyDescent="0.2">
      <c r="A10" s="9" t="str">
        <f>'User Perspective'!A1</f>
        <v>User Perspective</v>
      </c>
      <c r="B10">
        <f>ROUND((SUMIF($C$14:$C$23,"&gt;0")/SUMIF($D$14:$D$23,"&gt;0"))*100,0)</f>
        <v>46</v>
      </c>
    </row>
    <row r="11" spans="1:8" x14ac:dyDescent="0.2">
      <c r="A11" s="9" t="str">
        <f>'Developer Perspective'!A1</f>
        <v>Developer Perspective</v>
      </c>
      <c r="B11">
        <f>ROUND((SUMIF($C$25:$C$30,"&gt;0")/SUMIF($D$25:$D$30,"&gt;0"))*100,0)</f>
        <v>37</v>
      </c>
    </row>
    <row r="13" spans="1:8" x14ac:dyDescent="0.2">
      <c r="A13" s="1" t="s">
        <v>106</v>
      </c>
      <c r="F13" s="1" t="s">
        <v>6</v>
      </c>
      <c r="G13" s="1" t="s">
        <v>102</v>
      </c>
      <c r="H13" s="1" t="s">
        <v>7</v>
      </c>
    </row>
    <row r="14" spans="1:8" ht="16" x14ac:dyDescent="0.2">
      <c r="A14" s="7" t="str">
        <f>'User Perspective'!A2</f>
        <v>Failure Tolerance (FT) / High Availability (HA) Focus</v>
      </c>
      <c r="B14">
        <f t="shared" ref="B14:B19" si="0">ROUND(IFERROR(((C14)/(D14)),0)*100,0)</f>
        <v>0</v>
      </c>
      <c r="C14" s="12">
        <f>IF(AVERAGE(FTHARangeD)=0,IF(AVERAGE(FTHARangeE)=0,1,0),AVERAGE(FTHARangeD))</f>
        <v>0</v>
      </c>
      <c r="D14" s="12">
        <f>IF(AVERAGE(FTHARangeE)=0,1,AVERAGE(FTHARangeE))</f>
        <v>18</v>
      </c>
      <c r="F14">
        <f>COUNTIF(FTHARange,Lists!$A$12)</f>
        <v>2</v>
      </c>
      <c r="G14">
        <f>COUNTIF(FTHARange,Lists!$A$10)</f>
        <v>0</v>
      </c>
      <c r="H14">
        <f>COUNTIF(FTHARange,Lists!$A$9)</f>
        <v>0</v>
      </c>
    </row>
    <row r="15" spans="1:8" x14ac:dyDescent="0.2">
      <c r="A15" s="8" t="str">
        <f>'User Perspective'!A5</f>
        <v>Disaster Recovery (DR) Focus</v>
      </c>
      <c r="B15">
        <f t="shared" si="0"/>
        <v>5</v>
      </c>
      <c r="C15" s="12">
        <f>IF(AVERAGE(DRRangeD)=0,IF(AVERAGE(DRRangeE)=0,1,0),AVERAGE(DRRangeD))</f>
        <v>0.66666666666666663</v>
      </c>
      <c r="D15" s="12">
        <f>IF(AVERAGE(DRRangeE)=0,1,AVERAGE(DRRangeE))</f>
        <v>13</v>
      </c>
      <c r="F15">
        <f>COUNTIF(DRRange,Lists!$A$12)</f>
        <v>2</v>
      </c>
      <c r="G15">
        <f>COUNTIF(DRRange,Lists!$A$10)</f>
        <v>1</v>
      </c>
      <c r="H15">
        <f>COUNTIF(DRRange,Lists!$A$9)</f>
        <v>0</v>
      </c>
    </row>
    <row r="16" spans="1:8" x14ac:dyDescent="0.2">
      <c r="A16" s="8" t="str">
        <f>'User Perspective'!A9</f>
        <v>Scalability Focus</v>
      </c>
      <c r="B16">
        <f t="shared" si="0"/>
        <v>67</v>
      </c>
      <c r="C16" s="12">
        <f>IF(AVERAGE(ScaleRangeD)=0,IF(AVERAGE(ScaleRangeE)=0,1,0),AVERAGE(ScaleRangeD))</f>
        <v>12</v>
      </c>
      <c r="D16" s="12">
        <f>IF(AVERAGE(ScaleRangeE)=0,1,AVERAGE(ScaleRangeE))</f>
        <v>18</v>
      </c>
      <c r="F16">
        <f>COUNTIF(ScaleRange,Lists!$A$12)</f>
        <v>0</v>
      </c>
      <c r="G16">
        <f>COUNTIF(ScaleRange,Lists!$A$10)</f>
        <v>2</v>
      </c>
      <c r="H16">
        <f>COUNTIF(ScaleRange,Lists!$A$9)</f>
        <v>0</v>
      </c>
    </row>
    <row r="17" spans="1:8" x14ac:dyDescent="0.2">
      <c r="A17" s="8" t="str">
        <f>'User Perspective'!A12</f>
        <v>Performance Focus</v>
      </c>
      <c r="B17">
        <f t="shared" si="0"/>
        <v>100</v>
      </c>
      <c r="C17" s="12">
        <f>IF(AVERAGE(PerfRangeD)=0,IF(AVERAGE(PerfRangeE)=0,1,0),AVERAGE(PerfRangeD))</f>
        <v>12</v>
      </c>
      <c r="D17" s="12">
        <f>IF(AVERAGE(PerfRangeE)=0,1,AVERAGE(PerfRangeE))</f>
        <v>12</v>
      </c>
      <c r="F17">
        <f>COUNTIF(PerfRange,Lists!$A$12)</f>
        <v>0</v>
      </c>
      <c r="G17">
        <f>COUNTIF(PerfRange,Lists!$A$10)</f>
        <v>0</v>
      </c>
      <c r="H17">
        <f>COUNTIF(PerfRange,Lists!$A$9)</f>
        <v>0</v>
      </c>
    </row>
    <row r="18" spans="1:8" x14ac:dyDescent="0.2">
      <c r="A18" s="8" t="str">
        <f>'User Perspective'!A16</f>
        <v>Runtime Cost Focus</v>
      </c>
      <c r="B18">
        <f t="shared" si="0"/>
        <v>50</v>
      </c>
      <c r="C18" s="12">
        <f>IF(AVERAGE(RunCostRangeD)=0,IF(AVERAGE(RunCostRangeE)=0,1,0),AVERAGE(RunCostRangeD))</f>
        <v>1.5</v>
      </c>
      <c r="D18" s="12">
        <f>IF(AVERAGE(RunCostRangeE)=0,1,AVERAGE(RunCostRangeE))</f>
        <v>3</v>
      </c>
      <c r="F18">
        <f>COUNTIF(RunCostRange,Lists!$A$12)</f>
        <v>1</v>
      </c>
      <c r="G18">
        <f>COUNTIF(RunCostRange,Lists!$A$10)</f>
        <v>0</v>
      </c>
      <c r="H18">
        <f>COUNTIF(RunCostRange,Lists!$A$9)</f>
        <v>0</v>
      </c>
    </row>
    <row r="19" spans="1:8" x14ac:dyDescent="0.2">
      <c r="A19" s="8" t="str">
        <f>'User Perspective'!A19</f>
        <v>Interoperability Focus</v>
      </c>
      <c r="B19">
        <f t="shared" si="0"/>
        <v>78</v>
      </c>
      <c r="C19" s="12">
        <f>IF(AVERAGE(InterOpRangeD)=0,IF(AVERAGE(InterOpRangeE)=0,1,0),AVERAGE(InterOpRangeD))</f>
        <v>10.5</v>
      </c>
      <c r="D19" s="12">
        <f>IF(AVERAGE(InterOpRangeE)=0,1,AVERAGE(InterOpRangeE))</f>
        <v>13.5</v>
      </c>
      <c r="F19">
        <f>COUNTIF(InterOpRange,Lists!$A$12)</f>
        <v>0</v>
      </c>
      <c r="G19">
        <f>COUNTIF(InterOpRange,Lists!$A$10)</f>
        <v>1</v>
      </c>
      <c r="H19">
        <f>COUNTIF(InterOpRange,Lists!$A$9)</f>
        <v>0</v>
      </c>
    </row>
    <row r="20" spans="1:8" x14ac:dyDescent="0.2">
      <c r="A20" s="8" t="str">
        <f>'User Perspective'!A22</f>
        <v>Security Focus</v>
      </c>
      <c r="B20">
        <f>ROUND(IFERROR(((C20)/(D20)),0)*100,0)</f>
        <v>45</v>
      </c>
      <c r="C20" s="12">
        <f>IF(AVERAGE(SecurityRangeD)=0,IF(AVERAGE(SecurityRangeE)=0,1,0),AVERAGE(SecurityRangeD))</f>
        <v>8.1818181818181817</v>
      </c>
      <c r="D20" s="12">
        <f>IF(AVERAGE(SecurityRangeE)=0,1,AVERAGE(SecurityRangeE))</f>
        <v>18</v>
      </c>
      <c r="F20">
        <f>COUNTIF(SecurityRange,Lists!$A$12)</f>
        <v>6</v>
      </c>
      <c r="G20">
        <f>COUNTIF(SecurityRange,Lists!$A$10)</f>
        <v>0</v>
      </c>
      <c r="H20">
        <f>COUNTIF(SecurityRange,Lists!$A$9)</f>
        <v>0</v>
      </c>
    </row>
    <row r="21" spans="1:8" x14ac:dyDescent="0.2">
      <c r="A21" s="8" t="str">
        <f>'User Perspective'!A34</f>
        <v>Usability Focus</v>
      </c>
      <c r="B21">
        <f>ROUND(IFERROR(((C21)/(D21)),0)*100,0)</f>
        <v>60</v>
      </c>
      <c r="C21" s="12">
        <f>IF(AVERAGE(UsabilityRangeD)=0,IF(AVERAGE(UsabilityRangeE)=0,1,0),AVERAGE(UsabilityRangeD))</f>
        <v>6.75</v>
      </c>
      <c r="D21" s="12">
        <f>IF(AVERAGE(UsabilityRangeE)=0,1,AVERAGE(UsabilityRangeE))</f>
        <v>11.25</v>
      </c>
      <c r="F21">
        <f>COUNTIF(UsabilityRange,Lists!$A$12)</f>
        <v>1</v>
      </c>
      <c r="G21">
        <f>COUNTIF(UsabilityRange,Lists!$A$10)</f>
        <v>0</v>
      </c>
      <c r="H21">
        <f>COUNTIF(UsabilityRange,Lists!$A$9)</f>
        <v>0</v>
      </c>
    </row>
    <row r="22" spans="1:8" x14ac:dyDescent="0.2">
      <c r="A22" s="8" t="str">
        <f>'User Perspective'!A39</f>
        <v>Cloud Lock-out Focus</v>
      </c>
      <c r="B22">
        <f>ROUND(IFERROR(((C22)/(D22)),0)*100,0)</f>
        <v>67</v>
      </c>
      <c r="C22" s="12">
        <f>IF(AVERAGE(CloudLockRangeD)=0,IF(AVERAGE(CloudLockRangeE)=0,1,0),AVERAGE(CloudLockRangeD))</f>
        <v>6</v>
      </c>
      <c r="D22" s="12">
        <f>IF(AVERAGE(CloudLockRangeE)=0,1,AVERAGE(CloudLockRangeE))</f>
        <v>9</v>
      </c>
      <c r="F22">
        <f>COUNTIF(CloudLockRange,Lists!$A$12)</f>
        <v>0</v>
      </c>
      <c r="G22">
        <f>COUNTIF(CloudLockRange,Lists!$A$10)</f>
        <v>1</v>
      </c>
      <c r="H22">
        <f>COUNTIF(CloudLockRange,Lists!$A$9)</f>
        <v>0</v>
      </c>
    </row>
    <row r="23" spans="1:8" x14ac:dyDescent="0.2">
      <c r="A23" s="8" t="str">
        <f>'User Perspective'!A41</f>
        <v>Operability / Supportability Focus</v>
      </c>
      <c r="B23">
        <f>ROUND(IFERROR(((C23)/(D23)),0)*100,0)</f>
        <v>20</v>
      </c>
      <c r="C23" s="12">
        <f>IF(AVERAGE(OperationRangeD)=0,IF(AVERAGE(OperationRangeE)=0,1,0),AVERAGE(OperationRangeD))</f>
        <v>3.6</v>
      </c>
      <c r="D23" s="12">
        <f>IF(AVERAGE(OperationRangeE)=0,1,AVERAGE(OperationRangeE))</f>
        <v>18</v>
      </c>
      <c r="F23">
        <f>COUNTIF(OperationRange,Lists!$A$12)</f>
        <v>4</v>
      </c>
      <c r="G23">
        <f>COUNTIF(OperationRange,Lists!$A$10)</f>
        <v>0</v>
      </c>
      <c r="H23">
        <f>COUNTIF(OperationRange,Lists!$A$9)</f>
        <v>0</v>
      </c>
    </row>
    <row r="24" spans="1:8" x14ac:dyDescent="0.2">
      <c r="C24" s="12"/>
      <c r="D24" s="12"/>
    </row>
    <row r="25" spans="1:8" x14ac:dyDescent="0.2">
      <c r="A25" s="8" t="str">
        <f>'Developer Perspective'!A2</f>
        <v>Reusability Focus</v>
      </c>
      <c r="B25">
        <f t="shared" ref="B25:B31" si="1">ROUND(IFERROR(((C25)/(D25)),0)*100,0)</f>
        <v>78</v>
      </c>
      <c r="C25" s="12">
        <f>IF(AVERAGE(ReuseRangeD)=0,IF(AVERAGE(ReuseRangeE)=0,1,0),AVERAGE(ReuseRangeD))</f>
        <v>14</v>
      </c>
      <c r="D25" s="12">
        <f>IF(AVERAGE(ReuseRangeE)=0,1,AVERAGE(ReuseRangeE))</f>
        <v>18</v>
      </c>
      <c r="F25">
        <f>COUNTIF(ReuseRange,Lists!$A$12)</f>
        <v>0</v>
      </c>
      <c r="G25">
        <f>COUNTIF(ReuseRange,Lists!$A$10)</f>
        <v>0</v>
      </c>
      <c r="H25">
        <f>COUNTIF(ReuseRange,Lists!$A$9)</f>
        <v>1</v>
      </c>
    </row>
    <row r="26" spans="1:8" x14ac:dyDescent="0.2">
      <c r="A26" s="8" t="str">
        <f>'Developer Perspective'!A6</f>
        <v>Testability Focus</v>
      </c>
      <c r="B26">
        <f t="shared" si="1"/>
        <v>5</v>
      </c>
      <c r="C26" s="12">
        <f>IF(AVERAGE(TestRangeD)=0,IF(AVERAGE(TestRangeE)=0,1,0),AVERAGE(TestRangeD))</f>
        <v>0.6</v>
      </c>
      <c r="D26" s="12">
        <f>IF(AVERAGE(TestRangeE)=0,1,AVERAGE(TestRangeE))</f>
        <v>12</v>
      </c>
      <c r="F26">
        <f>COUNTIF(TestRange,Lists!$A$12)</f>
        <v>4</v>
      </c>
      <c r="G26">
        <f>COUNTIF(TestRange,Lists!$A$10)</f>
        <v>0</v>
      </c>
      <c r="H26">
        <f>COUNTIF(TestRange,Lists!$A$9)</f>
        <v>0</v>
      </c>
    </row>
    <row r="27" spans="1:8" x14ac:dyDescent="0.2">
      <c r="A27" s="8" t="str">
        <f>'Developer Perspective'!A12</f>
        <v>Architectural Rigor Focus</v>
      </c>
      <c r="B27">
        <f t="shared" si="1"/>
        <v>33</v>
      </c>
      <c r="C27" s="12">
        <f>IF(AVERAGE(ArchRigorD)=0,IF(AVERAGE(ArchRigorE)=0,1,0),AVERAGE(ArchRigorD))</f>
        <v>6</v>
      </c>
      <c r="D27" s="12">
        <f>IF(AVERAGE(ArchRigorE)=0,1,AVERAGE(ArchRigorE))</f>
        <v>18</v>
      </c>
      <c r="F27">
        <f>COUNTIF(ArchRigor,Lists!$A$12)</f>
        <v>1</v>
      </c>
      <c r="G27">
        <f>COUNTIF(ArchRigor,Lists!$A$10)</f>
        <v>1</v>
      </c>
      <c r="H27">
        <f>COUNTIF(ArchRigor,Lists!$A$9)</f>
        <v>0</v>
      </c>
    </row>
    <row r="28" spans="1:8" x14ac:dyDescent="0.2">
      <c r="A28" s="8" t="str">
        <f>'Developer Perspective'!A15</f>
        <v>Engineering Rigor &amp; Maintainability Focus</v>
      </c>
      <c r="B28">
        <f t="shared" si="1"/>
        <v>6</v>
      </c>
      <c r="C28" s="12">
        <f>IF(AVERAGE(MaintainRangeD)=0,IF(AVERAGE(MaintainRangeE)=0,1,0),AVERAGE(MaintainRangeD))</f>
        <v>1</v>
      </c>
      <c r="D28" s="12">
        <f>IF(AVERAGE(MaintainRangeE)=0,1,AVERAGE(MaintainRangeE))</f>
        <v>17</v>
      </c>
      <c r="F28">
        <f>COUNTIF(MaintainRange,Lists!$A$12)</f>
        <v>8</v>
      </c>
      <c r="G28">
        <f>COUNTIF(MaintainRange,Lists!$A$10)</f>
        <v>0</v>
      </c>
      <c r="H28">
        <f>COUNTIF(MaintainRange,Lists!$A$9)</f>
        <v>0</v>
      </c>
    </row>
    <row r="29" spans="1:8" x14ac:dyDescent="0.2">
      <c r="A29" s="8" t="str">
        <f>'Developer Perspective'!A25</f>
        <v>Dev Security Focus</v>
      </c>
      <c r="B29">
        <f t="shared" si="1"/>
        <v>33</v>
      </c>
      <c r="C29" s="12">
        <f>IF(AVERAGE(DevSecD)=0,IF(AVERAGE(DevSecE)=0,1,0),AVERAGE(DevSecD))</f>
        <v>6</v>
      </c>
      <c r="D29" s="12">
        <f>IF(AVERAGE(DevSecE)=0,1,AVERAGE(DevSecE))</f>
        <v>18</v>
      </c>
      <c r="F29">
        <f>COUNTIF(DevSec,Lists!$A$12)</f>
        <v>2</v>
      </c>
      <c r="G29">
        <f>COUNTIF(DevSec,Lists!$A$10)</f>
        <v>0</v>
      </c>
      <c r="H29">
        <f>COUNTIF(DevSec,Lists!$A$9)</f>
        <v>0</v>
      </c>
    </row>
    <row r="30" spans="1:8" x14ac:dyDescent="0.2">
      <c r="A30" s="8" t="str">
        <f>'Developer Perspective'!A29</f>
        <v>Ease of Development Focus</v>
      </c>
      <c r="B30">
        <f t="shared" si="1"/>
        <v>67</v>
      </c>
      <c r="C30" s="12">
        <f>IF(AVERAGE(EaseUseRangeD)=0,IF(AVERAGE(EaseUseRangeE)=0,1,0),AVERAGE(EaseUseRangeD))</f>
        <v>6</v>
      </c>
      <c r="D30" s="12">
        <f>IF(AVERAGE(EaseUseRangeE)=0,1,AVERAGE(EaseUseRangeE))</f>
        <v>9</v>
      </c>
      <c r="F30">
        <f>COUNTIF(EaseUseRange,Lists!$A$12)</f>
        <v>0</v>
      </c>
      <c r="G30">
        <f>COUNTIF(EaseUseRange,Lists!$A$10)</f>
        <v>1</v>
      </c>
      <c r="H30">
        <f>COUNTIF(EaseUseRange,Lists!$A$9)</f>
        <v>0</v>
      </c>
    </row>
    <row r="31" spans="1:8" x14ac:dyDescent="0.2">
      <c r="A31" s="8" t="str">
        <f>'Developer Perspective'!A31</f>
        <v>Time to Deliver Focus</v>
      </c>
      <c r="B31">
        <f t="shared" si="1"/>
        <v>0</v>
      </c>
      <c r="C31" s="12">
        <f>IF(AVERAGE(TimeRangeD)=0,IF(AVERAGE(TimeRangeE)=0,1,0),AVERAGE(TimeRangeD))</f>
        <v>0</v>
      </c>
      <c r="D31" s="12">
        <f>IF(AVERAGE(TimeRangeE)=0,1,AVERAGE(TimeRangeE))</f>
        <v>18</v>
      </c>
      <c r="F31">
        <f>COUNTIF(TimeRange,Lists!$A$12)</f>
        <v>1</v>
      </c>
      <c r="G31">
        <f>COUNTIF(TimeRange,Lists!$A$10)</f>
        <v>0</v>
      </c>
      <c r="H31">
        <f>COUNTIF(TimeRange,Lists!$A$9)</f>
        <v>0</v>
      </c>
    </row>
    <row r="32" spans="1:8" x14ac:dyDescent="0.2">
      <c r="F32" s="1">
        <f>SUM(F14:F31)</f>
        <v>32</v>
      </c>
      <c r="G32" s="1">
        <f>SUM(G14:G31)</f>
        <v>7</v>
      </c>
      <c r="H32" s="1">
        <f>SUM(H14:H31)</f>
        <v>1</v>
      </c>
    </row>
    <row r="33" spans="1:1" x14ac:dyDescent="0.2">
      <c r="A33" s="1" t="s">
        <v>123</v>
      </c>
    </row>
    <row r="34" spans="1:1" x14ac:dyDescent="0.2">
      <c r="A34" t="s">
        <v>122</v>
      </c>
    </row>
    <row r="35" spans="1:1" x14ac:dyDescent="0.2">
      <c r="A35" t="s">
        <v>125</v>
      </c>
    </row>
    <row r="36" spans="1:1" x14ac:dyDescent="0.2">
      <c r="A36" t="s">
        <v>126</v>
      </c>
    </row>
    <row r="37" spans="1:1" x14ac:dyDescent="0.2">
      <c r="A37" t="s">
        <v>127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0CD812A-CC8F-F442-BD3B-5507E424C113}">
          <x14:formula1>
            <xm:f>Lists!$A$15:$A$18</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heetPr>
  <dimension ref="A1:G46"/>
  <sheetViews>
    <sheetView topLeftCell="A8" workbookViewId="0">
      <selection activeCell="A45" sqref="A45"/>
    </sheetView>
  </sheetViews>
  <sheetFormatPr baseColWidth="10" defaultColWidth="8.83203125" defaultRowHeight="15" outlineLevelRow="1" x14ac:dyDescent="0.2"/>
  <cols>
    <col min="1" max="1" width="75.5" style="2" customWidth="1"/>
    <col min="2" max="2" width="11" customWidth="1"/>
    <col min="3" max="3" width="14.83203125" customWidth="1"/>
    <col min="4" max="4" width="8" customWidth="1"/>
    <col min="5" max="5" width="10.83203125" customWidth="1"/>
    <col min="6" max="6" width="122.1640625" customWidth="1"/>
    <col min="7" max="7" width="12.5" customWidth="1"/>
  </cols>
  <sheetData>
    <row r="1" spans="1:7" s="19" customFormat="1" ht="17" x14ac:dyDescent="0.2">
      <c r="A1" s="16" t="s">
        <v>8</v>
      </c>
      <c r="B1" s="17" t="s">
        <v>9</v>
      </c>
      <c r="C1" s="17" t="s">
        <v>10</v>
      </c>
      <c r="D1" s="17" t="s">
        <v>11</v>
      </c>
      <c r="E1" s="17" t="s">
        <v>12</v>
      </c>
      <c r="F1" s="18" t="s">
        <v>13</v>
      </c>
      <c r="G1" s="17"/>
    </row>
    <row r="2" spans="1:7" ht="16" x14ac:dyDescent="0.2">
      <c r="A2" s="20" t="s">
        <v>14</v>
      </c>
    </row>
    <row r="3" spans="1:7" ht="16" outlineLevel="1" x14ac:dyDescent="0.2">
      <c r="A3" s="27" t="s">
        <v>97</v>
      </c>
      <c r="B3" s="4" t="s">
        <v>15</v>
      </c>
      <c r="C3" s="4" t="s">
        <v>16</v>
      </c>
      <c r="D3" s="4">
        <f>IFERROR(VLOOKUP($B3,Lists!$C$3:$D$6,2,0),0)*IFERROR(VLOOKUP($C3,Lists!$C$9:$D$12,2,0),0)</f>
        <v>0</v>
      </c>
      <c r="E3" s="4">
        <f>IFERROR(VLOOKUP($B3,Lists!$C$3:$D$6,2,0),0)*Lists!$D$11</f>
        <v>18</v>
      </c>
      <c r="F3" s="4"/>
    </row>
    <row r="4" spans="1:7" ht="16" outlineLevel="1" x14ac:dyDescent="0.2">
      <c r="A4" s="27" t="s">
        <v>90</v>
      </c>
      <c r="B4" s="4" t="s">
        <v>15</v>
      </c>
      <c r="C4" s="4" t="s">
        <v>16</v>
      </c>
      <c r="D4" s="4">
        <f>IFERROR(VLOOKUP($B4,Lists!$C$3:$D$6,2,0),0)*IFERROR(VLOOKUP($C4,Lists!$C$9:$D$12,2,0),0)</f>
        <v>0</v>
      </c>
      <c r="E4" s="4">
        <f>IFERROR(VLOOKUP($B4,Lists!$C$3:$D$6,2,0),0)*Lists!$D$11</f>
        <v>18</v>
      </c>
      <c r="F4" s="4" t="s">
        <v>91</v>
      </c>
    </row>
    <row r="5" spans="1:7" ht="16" x14ac:dyDescent="0.2">
      <c r="A5" s="20" t="s">
        <v>17</v>
      </c>
      <c r="B5" s="4"/>
      <c r="C5" s="4"/>
      <c r="D5" s="4"/>
      <c r="E5" s="4"/>
      <c r="F5" s="4"/>
    </row>
    <row r="6" spans="1:7" ht="16" outlineLevel="1" x14ac:dyDescent="0.2">
      <c r="A6" s="27" t="s">
        <v>18</v>
      </c>
      <c r="B6" s="4" t="s">
        <v>15</v>
      </c>
      <c r="C6" s="4" t="s">
        <v>16</v>
      </c>
      <c r="D6" s="4">
        <f>IFERROR(VLOOKUP($B6,Lists!$C$3:$D$6,2,0),0)*IFERROR(VLOOKUP($C6,Lists!$C$9:$D$12,2,0),0)</f>
        <v>0</v>
      </c>
      <c r="E6" s="4">
        <f>IFERROR(VLOOKUP($B6,Lists!$C$3:$D$6,2,0),0)*Lists!$D$11</f>
        <v>18</v>
      </c>
      <c r="F6" s="4" t="s">
        <v>92</v>
      </c>
    </row>
    <row r="7" spans="1:7" ht="16" outlineLevel="1" x14ac:dyDescent="0.2">
      <c r="A7" s="29" t="s">
        <v>120</v>
      </c>
      <c r="B7" s="30" t="s">
        <v>15</v>
      </c>
      <c r="C7" s="30" t="s">
        <v>16</v>
      </c>
      <c r="D7" s="30">
        <v>0</v>
      </c>
      <c r="E7" s="30">
        <v>18</v>
      </c>
      <c r="F7" s="30" t="s">
        <v>92</v>
      </c>
      <c r="G7" s="31"/>
    </row>
    <row r="8" spans="1:7" ht="16" outlineLevel="1" x14ac:dyDescent="0.2">
      <c r="A8" s="27" t="s">
        <v>19</v>
      </c>
      <c r="B8" s="4" t="s">
        <v>20</v>
      </c>
      <c r="C8" s="4" t="s">
        <v>21</v>
      </c>
      <c r="D8" s="4">
        <f>IFERROR(VLOOKUP($B8,Lists!$C$3:$D$6,2,0),0)*IFERROR(VLOOKUP($C8,Lists!$C$9:$D$12,2,0),0)</f>
        <v>2</v>
      </c>
      <c r="E8" s="4">
        <f>IFERROR(VLOOKUP($B8,Lists!$C$3:$D$6,2,0),0)*Lists!$D$11</f>
        <v>3</v>
      </c>
      <c r="F8" s="4"/>
    </row>
    <row r="9" spans="1:7" ht="16" x14ac:dyDescent="0.2">
      <c r="A9" s="20" t="s">
        <v>22</v>
      </c>
      <c r="B9" s="4"/>
      <c r="C9" s="4"/>
      <c r="D9" s="4"/>
      <c r="E9" s="4"/>
      <c r="F9" s="4"/>
    </row>
    <row r="10" spans="1:7" ht="16" outlineLevel="1" x14ac:dyDescent="0.2">
      <c r="A10" s="27" t="s">
        <v>23</v>
      </c>
      <c r="B10" s="4" t="s">
        <v>15</v>
      </c>
      <c r="C10" s="4" t="s">
        <v>21</v>
      </c>
      <c r="D10" s="4">
        <f>IFERROR(VLOOKUP($B10,Lists!$C$3:$D$6,2,0),0)*IFERROR(VLOOKUP($C10,Lists!$C$9:$D$12,2,0),0)</f>
        <v>12</v>
      </c>
      <c r="E10" s="4">
        <f>IFERROR(VLOOKUP($B10,Lists!$C$3:$D$6,2,0),0)*Lists!$D$11</f>
        <v>18</v>
      </c>
      <c r="F10" s="4"/>
    </row>
    <row r="11" spans="1:7" ht="16" outlineLevel="1" x14ac:dyDescent="0.2">
      <c r="A11" s="27" t="s">
        <v>105</v>
      </c>
      <c r="B11" s="4" t="s">
        <v>15</v>
      </c>
      <c r="C11" s="4" t="s">
        <v>21</v>
      </c>
      <c r="D11" s="4">
        <f>IFERROR(VLOOKUP($B11,Lists!$C$3:$D$6,2,0),0)*IFERROR(VLOOKUP($C11,Lists!$C$9:$D$12,2,0),0)</f>
        <v>12</v>
      </c>
      <c r="E11" s="4">
        <f>IFERROR(VLOOKUP($B11,Lists!$C$3:$D$6,2,0),0)*Lists!$D$11</f>
        <v>18</v>
      </c>
      <c r="F11" s="4"/>
    </row>
    <row r="12" spans="1:7" ht="16" x14ac:dyDescent="0.2">
      <c r="A12" s="20" t="s">
        <v>24</v>
      </c>
      <c r="B12" s="4"/>
      <c r="C12" s="4"/>
      <c r="D12" s="4"/>
      <c r="E12" s="4"/>
      <c r="F12" s="4"/>
    </row>
    <row r="13" spans="1:7" ht="16" outlineLevel="1" x14ac:dyDescent="0.2">
      <c r="A13" s="27" t="s">
        <v>104</v>
      </c>
      <c r="B13" s="4" t="s">
        <v>26</v>
      </c>
      <c r="C13" s="4" t="s">
        <v>27</v>
      </c>
      <c r="D13" s="4">
        <f>IFERROR(VLOOKUP($B13,Lists!$C$3:$D$6,2,0),0)*IFERROR(VLOOKUP($C13,Lists!$C$9:$D$12,2,0),0)</f>
        <v>9</v>
      </c>
      <c r="E13" s="4">
        <f>IFERROR(VLOOKUP($B13,Lists!$C$3:$D$6,2,0),0)*Lists!$D$11</f>
        <v>9</v>
      </c>
      <c r="F13" s="4"/>
    </row>
    <row r="14" spans="1:7" ht="16" outlineLevel="1" x14ac:dyDescent="0.2">
      <c r="A14" s="27" t="s">
        <v>25</v>
      </c>
      <c r="B14" s="4" t="s">
        <v>26</v>
      </c>
      <c r="C14" s="4" t="s">
        <v>27</v>
      </c>
      <c r="D14" s="4">
        <f>IFERROR(VLOOKUP($B14,Lists!$C$3:$D$6,2,0),0)*IFERROR(VLOOKUP($C14,Lists!$C$9:$D$12,2,0),0)</f>
        <v>9</v>
      </c>
      <c r="E14" s="4">
        <f>IFERROR(VLOOKUP($B14,Lists!$C$3:$D$6,2,0),0)*Lists!$D$11</f>
        <v>9</v>
      </c>
      <c r="F14" s="4"/>
    </row>
    <row r="15" spans="1:7" ht="16" outlineLevel="1" x14ac:dyDescent="0.2">
      <c r="A15" s="27" t="s">
        <v>28</v>
      </c>
      <c r="B15" s="4" t="s">
        <v>29</v>
      </c>
      <c r="C15" s="4" t="s">
        <v>27</v>
      </c>
      <c r="D15" s="4">
        <f>IFERROR(VLOOKUP($B15,Lists!$C$3:$D$6,2,0),0)*IFERROR(VLOOKUP($C15,Lists!$C$9:$D$12,2,0),0)</f>
        <v>18</v>
      </c>
      <c r="E15" s="4">
        <f>IFERROR(VLOOKUP($B15,Lists!$C$3:$D$6,2,0),0)*Lists!$D$11</f>
        <v>18</v>
      </c>
      <c r="F15" s="4"/>
    </row>
    <row r="16" spans="1:7" ht="16" x14ac:dyDescent="0.2">
      <c r="A16" s="20" t="s">
        <v>30</v>
      </c>
      <c r="B16" s="4"/>
      <c r="C16" s="4"/>
      <c r="D16" s="4"/>
      <c r="E16" s="4"/>
      <c r="F16" s="4"/>
    </row>
    <row r="17" spans="1:6" ht="16" outlineLevel="1" x14ac:dyDescent="0.2">
      <c r="A17" s="27" t="s">
        <v>31</v>
      </c>
      <c r="B17" s="4" t="s">
        <v>20</v>
      </c>
      <c r="C17" s="4" t="s">
        <v>27</v>
      </c>
      <c r="D17" s="4">
        <f>IFERROR(VLOOKUP($B17,Lists!$C$3:$D$6,2,0),0)*IFERROR(VLOOKUP($C17,Lists!$C$9:$D$12,2,0),0)</f>
        <v>3</v>
      </c>
      <c r="E17" s="4">
        <f>IFERROR(VLOOKUP($B17,Lists!$C$3:$D$6,2,0),0)*Lists!$D$11</f>
        <v>3</v>
      </c>
      <c r="F17" s="4"/>
    </row>
    <row r="18" spans="1:6" ht="16" outlineLevel="1" x14ac:dyDescent="0.2">
      <c r="A18" s="27" t="s">
        <v>32</v>
      </c>
      <c r="B18" s="4" t="s">
        <v>20</v>
      </c>
      <c r="C18" s="4" t="s">
        <v>16</v>
      </c>
      <c r="D18" s="4">
        <f>IFERROR(VLOOKUP($B18,Lists!$C$3:$D$6,2,0),0)*IFERROR(VLOOKUP($C18,Lists!$C$9:$D$12,2,0),0)</f>
        <v>0</v>
      </c>
      <c r="E18" s="4">
        <f>IFERROR(VLOOKUP($B18,Lists!$C$3:$D$6,2,0),0)*Lists!$D$11</f>
        <v>3</v>
      </c>
      <c r="F18" s="4"/>
    </row>
    <row r="19" spans="1:6" ht="16" x14ac:dyDescent="0.2">
      <c r="A19" s="20" t="s">
        <v>33</v>
      </c>
      <c r="B19" s="4"/>
      <c r="C19" s="4"/>
      <c r="D19" s="4"/>
      <c r="E19" s="4"/>
      <c r="F19" s="4"/>
    </row>
    <row r="20" spans="1:6" ht="16" outlineLevel="1" x14ac:dyDescent="0.2">
      <c r="A20" s="27" t="s">
        <v>34</v>
      </c>
      <c r="B20" s="4" t="s">
        <v>15</v>
      </c>
      <c r="C20" s="4" t="s">
        <v>21</v>
      </c>
      <c r="D20" s="4">
        <f>IFERROR(VLOOKUP($B20,Lists!$C$3:$D$6,2,0),0)*IFERROR(VLOOKUP($C20,Lists!$C$9:$D$12,2,0),0)</f>
        <v>12</v>
      </c>
      <c r="E20" s="4">
        <f>IFERROR(VLOOKUP($B20,Lists!$C$3:$D$6,2,0),0)*Lists!$D$11</f>
        <v>18</v>
      </c>
      <c r="F20" s="4"/>
    </row>
    <row r="21" spans="1:6" ht="16" outlineLevel="1" x14ac:dyDescent="0.2">
      <c r="A21" s="27" t="s">
        <v>35</v>
      </c>
      <c r="B21" s="4" t="s">
        <v>26</v>
      </c>
      <c r="C21" s="4" t="s">
        <v>27</v>
      </c>
      <c r="D21" s="4">
        <f>IFERROR(VLOOKUP($B21,Lists!$C$3:$D$6,2,0),0)*IFERROR(VLOOKUP($C21,Lists!$C$9:$D$12,2,0),0)</f>
        <v>9</v>
      </c>
      <c r="E21" s="4">
        <f>IFERROR(VLOOKUP($B21,Lists!$C$3:$D$6,2,0),0)*Lists!$D$11</f>
        <v>9</v>
      </c>
      <c r="F21" s="4"/>
    </row>
    <row r="22" spans="1:6" ht="16" x14ac:dyDescent="0.2">
      <c r="A22" s="20" t="s">
        <v>36</v>
      </c>
      <c r="B22" s="4"/>
      <c r="C22" s="4"/>
      <c r="D22" s="4"/>
      <c r="E22" s="4"/>
      <c r="F22" s="4"/>
    </row>
    <row r="23" spans="1:6" ht="32" outlineLevel="1" x14ac:dyDescent="0.2">
      <c r="A23" s="27" t="s">
        <v>94</v>
      </c>
      <c r="B23" s="4" t="s">
        <v>15</v>
      </c>
      <c r="C23" s="4" t="s">
        <v>16</v>
      </c>
      <c r="D23" s="4">
        <f>IFERROR(VLOOKUP($B23,Lists!$C$3:$D$6,2,0),0)*IFERROR(VLOOKUP($C23,Lists!$C$9:$D$12,2,0),0)</f>
        <v>0</v>
      </c>
      <c r="E23" s="4">
        <f>IFERROR(VLOOKUP($B23,Lists!$C$3:$D$6,2,0),0)*Lists!$D$11</f>
        <v>18</v>
      </c>
      <c r="F23" s="4"/>
    </row>
    <row r="24" spans="1:6" ht="16" outlineLevel="1" x14ac:dyDescent="0.2">
      <c r="A24" s="27" t="s">
        <v>95</v>
      </c>
      <c r="B24" s="4" t="s">
        <v>15</v>
      </c>
      <c r="C24" s="4" t="s">
        <v>16</v>
      </c>
      <c r="D24" s="4">
        <f>IFERROR(VLOOKUP($B24,Lists!$C$3:$D$6,2,0),0)*IFERROR(VLOOKUP($C24,Lists!$C$9:$D$12,2,0),0)</f>
        <v>0</v>
      </c>
      <c r="E24" s="4">
        <f>IFERROR(VLOOKUP($B24,Lists!$C$3:$D$6,2,0),0)*Lists!$D$11</f>
        <v>18</v>
      </c>
      <c r="F24" s="4"/>
    </row>
    <row r="25" spans="1:6" ht="16" outlineLevel="1" x14ac:dyDescent="0.2">
      <c r="A25" s="27" t="s">
        <v>121</v>
      </c>
      <c r="B25" s="4" t="s">
        <v>15</v>
      </c>
      <c r="C25" s="4" t="s">
        <v>16</v>
      </c>
      <c r="D25" s="4">
        <f>IFERROR(VLOOKUP($B25,Lists!$C$3:$D$6,2,0),0)*IFERROR(VLOOKUP($C25,Lists!$C$9:$D$12,2,0),0)</f>
        <v>0</v>
      </c>
      <c r="E25" s="4">
        <f>IFERROR(VLOOKUP($B25,Lists!$C$3:$D$6,2,0),0)*Lists!$D$11</f>
        <v>18</v>
      </c>
      <c r="F25" s="4"/>
    </row>
    <row r="26" spans="1:6" ht="16" outlineLevel="1" x14ac:dyDescent="0.2">
      <c r="A26" s="27" t="s">
        <v>89</v>
      </c>
      <c r="B26" s="4" t="s">
        <v>15</v>
      </c>
      <c r="C26" s="4" t="s">
        <v>16</v>
      </c>
      <c r="D26" s="4">
        <f>IFERROR(VLOOKUP($B26,Lists!$C$3:$D$6,2,0),0)*IFERROR(VLOOKUP($C26,Lists!$C$9:$D$12,2,0),0)</f>
        <v>0</v>
      </c>
      <c r="E26" s="4">
        <f>IFERROR(VLOOKUP($B26,Lists!$C$3:$D$6,2,0),0)*Lists!$D$11</f>
        <v>18</v>
      </c>
      <c r="F26" s="4"/>
    </row>
    <row r="27" spans="1:6" ht="16" outlineLevel="1" x14ac:dyDescent="0.2">
      <c r="A27" s="27" t="s">
        <v>116</v>
      </c>
      <c r="B27" s="4" t="s">
        <v>15</v>
      </c>
      <c r="C27" s="4" t="s">
        <v>16</v>
      </c>
      <c r="D27" s="4">
        <f>IFERROR(VLOOKUP($B27,Lists!$C$3:$D$6,2,0),0)*IFERROR(VLOOKUP($C27,Lists!$C$9:$D$12,2,0),0)</f>
        <v>0</v>
      </c>
      <c r="E27" s="4">
        <f>IFERROR(VLOOKUP($B27,Lists!$C$3:$D$6,2,0),0)*Lists!$D$11</f>
        <v>18</v>
      </c>
      <c r="F27" s="4"/>
    </row>
    <row r="28" spans="1:6" ht="16" outlineLevel="1" x14ac:dyDescent="0.2">
      <c r="A28" s="27" t="s">
        <v>37</v>
      </c>
      <c r="B28" s="4" t="s">
        <v>15</v>
      </c>
      <c r="C28" s="4" t="s">
        <v>16</v>
      </c>
      <c r="D28" s="4">
        <f>IFERROR(VLOOKUP($B28,Lists!$C$3:$D$6,2,0),0)*IFERROR(VLOOKUP($C28,Lists!$C$9:$D$12,2,0),0)</f>
        <v>0</v>
      </c>
      <c r="E28" s="4">
        <f>IFERROR(VLOOKUP($B28,Lists!$C$3:$D$6,2,0),0)*Lists!$D$11</f>
        <v>18</v>
      </c>
      <c r="F28" s="4"/>
    </row>
    <row r="29" spans="1:6" ht="16" outlineLevel="1" x14ac:dyDescent="0.2">
      <c r="A29" s="27" t="s">
        <v>86</v>
      </c>
      <c r="B29" s="4" t="s">
        <v>29</v>
      </c>
      <c r="C29" s="4" t="s">
        <v>27</v>
      </c>
      <c r="D29" s="4">
        <f>IFERROR(VLOOKUP($B29,Lists!$C$3:$D$6,2,0),0)*IFERROR(VLOOKUP($C29,Lists!$C$9:$D$12,2,0),0)</f>
        <v>18</v>
      </c>
      <c r="E29" s="4">
        <f>IFERROR(VLOOKUP($B29,Lists!$C$3:$D$6,2,0),0)*Lists!$D$11</f>
        <v>18</v>
      </c>
      <c r="F29" s="4"/>
    </row>
    <row r="30" spans="1:6" s="14" customFormat="1" ht="16" outlineLevel="1" x14ac:dyDescent="0.2">
      <c r="A30" s="28" t="s">
        <v>87</v>
      </c>
      <c r="B30" s="4" t="s">
        <v>29</v>
      </c>
      <c r="C30" s="4" t="s">
        <v>27</v>
      </c>
      <c r="D30" s="4">
        <f>IFERROR(VLOOKUP($B30,Lists!$C$3:$D$6,2,0),0)*IFERROR(VLOOKUP($C30,Lists!$C$9:$D$12,2,0),0)</f>
        <v>18</v>
      </c>
      <c r="E30" s="4">
        <f>IFERROR(VLOOKUP($B30,Lists!$C$3:$D$6,2,0),0)*Lists!$D$11</f>
        <v>18</v>
      </c>
      <c r="F30" s="26"/>
    </row>
    <row r="31" spans="1:6" s="14" customFormat="1" ht="16" outlineLevel="1" x14ac:dyDescent="0.2">
      <c r="A31" s="28" t="s">
        <v>103</v>
      </c>
      <c r="B31" s="4" t="s">
        <v>29</v>
      </c>
      <c r="C31" s="4" t="s">
        <v>27</v>
      </c>
      <c r="D31" s="4">
        <f>IFERROR(VLOOKUP($B31,Lists!$C$3:$D$6,2,0),0)*IFERROR(VLOOKUP($C31,Lists!$C$9:$D$12,2,0),0)</f>
        <v>18</v>
      </c>
      <c r="E31" s="4">
        <f>IFERROR(VLOOKUP($B31,Lists!$C$3:$D$6,2,0),0)*Lists!$D$11</f>
        <v>18</v>
      </c>
      <c r="F31" s="26"/>
    </row>
    <row r="32" spans="1:6" s="14" customFormat="1" ht="16" outlineLevel="1" x14ac:dyDescent="0.2">
      <c r="A32" s="28" t="s">
        <v>117</v>
      </c>
      <c r="B32" s="4" t="s">
        <v>29</v>
      </c>
      <c r="C32" s="4" t="s">
        <v>27</v>
      </c>
      <c r="D32" s="4">
        <f>IFERROR(VLOOKUP($B32,Lists!$C$3:$D$6,2,0),0)*IFERROR(VLOOKUP($C32,Lists!$C$9:$D$12,2,0),0)</f>
        <v>18</v>
      </c>
      <c r="E32" s="4">
        <f>IFERROR(VLOOKUP($B32,Lists!$C$3:$D$6,2,0),0)*Lists!$D$11</f>
        <v>18</v>
      </c>
      <c r="F32" s="26"/>
    </row>
    <row r="33" spans="1:6" ht="16" outlineLevel="1" x14ac:dyDescent="0.2">
      <c r="A33" s="27" t="s">
        <v>38</v>
      </c>
      <c r="B33" s="4" t="s">
        <v>15</v>
      </c>
      <c r="C33" s="4" t="s">
        <v>27</v>
      </c>
      <c r="D33" s="4">
        <f>IFERROR(VLOOKUP($B33,Lists!$C$3:$D$6,2,0),0)*IFERROR(VLOOKUP($C33,Lists!$C$9:$D$12,2,0),0)</f>
        <v>18</v>
      </c>
      <c r="E33" s="4">
        <f>IFERROR(VLOOKUP($B33,Lists!$C$3:$D$6,2,0),0)*Lists!$D$11</f>
        <v>18</v>
      </c>
      <c r="F33" s="4"/>
    </row>
    <row r="34" spans="1:6" ht="16" x14ac:dyDescent="0.2">
      <c r="A34" s="20" t="s">
        <v>39</v>
      </c>
      <c r="B34" s="4"/>
      <c r="C34" s="4"/>
      <c r="D34" s="4"/>
      <c r="E34" s="4"/>
      <c r="F34" s="4"/>
    </row>
    <row r="35" spans="1:6" ht="16" outlineLevel="1" x14ac:dyDescent="0.2">
      <c r="A35" s="27" t="s">
        <v>40</v>
      </c>
      <c r="B35" s="4" t="s">
        <v>26</v>
      </c>
      <c r="C35" s="4" t="s">
        <v>27</v>
      </c>
      <c r="D35" s="4">
        <f>IFERROR(VLOOKUP($B35,Lists!$C$3:$D$6,2,0),0)*IFERROR(VLOOKUP($C35,Lists!$C$9:$D$12,2,0),0)</f>
        <v>9</v>
      </c>
      <c r="E35" s="4">
        <f>IFERROR(VLOOKUP($B35,Lists!$C$3:$D$6,2,0),0)*Lists!$D$11</f>
        <v>9</v>
      </c>
      <c r="F35" s="4"/>
    </row>
    <row r="36" spans="1:6" ht="16" outlineLevel="1" x14ac:dyDescent="0.2">
      <c r="A36" s="27" t="s">
        <v>41</v>
      </c>
      <c r="B36" s="4" t="s">
        <v>15</v>
      </c>
      <c r="C36" s="4" t="s">
        <v>16</v>
      </c>
      <c r="D36" s="4">
        <f>IFERROR(VLOOKUP($B36,Lists!$C$3:$D$6,2,0),0)*IFERROR(VLOOKUP($C36,Lists!$C$9:$D$12,2,0),0)</f>
        <v>0</v>
      </c>
      <c r="E36" s="4">
        <f>IFERROR(VLOOKUP($B36,Lists!$C$3:$D$6,2,0),0)*Lists!$D$11</f>
        <v>18</v>
      </c>
      <c r="F36" s="4"/>
    </row>
    <row r="37" spans="1:6" ht="16" outlineLevel="1" x14ac:dyDescent="0.2">
      <c r="A37" s="27" t="s">
        <v>42</v>
      </c>
      <c r="B37" s="4" t="s">
        <v>26</v>
      </c>
      <c r="C37" s="4" t="s">
        <v>27</v>
      </c>
      <c r="D37" s="4">
        <f>IFERROR(VLOOKUP($B37,Lists!$C$3:$D$6,2,0),0)*IFERROR(VLOOKUP($C37,Lists!$C$9:$D$12,2,0),0)</f>
        <v>9</v>
      </c>
      <c r="E37" s="4">
        <f>IFERROR(VLOOKUP($B37,Lists!$C$3:$D$6,2,0),0)*Lists!$D$11</f>
        <v>9</v>
      </c>
      <c r="F37" s="4"/>
    </row>
    <row r="38" spans="1:6" ht="16" outlineLevel="1" x14ac:dyDescent="0.2">
      <c r="A38" s="28" t="s">
        <v>96</v>
      </c>
      <c r="B38" s="4" t="s">
        <v>26</v>
      </c>
      <c r="C38" s="4" t="s">
        <v>27</v>
      </c>
      <c r="D38" s="4">
        <f>IFERROR(VLOOKUP($B38,Lists!$C$3:$D$6,2,0),0)*IFERROR(VLOOKUP($C38,Lists!$C$9:$D$12,2,0),0)</f>
        <v>9</v>
      </c>
      <c r="E38" s="4">
        <f>IFERROR(VLOOKUP($B38,Lists!$C$3:$D$6,2,0),0)*Lists!$D$11</f>
        <v>9</v>
      </c>
      <c r="F38" s="4"/>
    </row>
    <row r="39" spans="1:6" ht="16" x14ac:dyDescent="0.2">
      <c r="A39" s="20" t="s">
        <v>43</v>
      </c>
      <c r="B39" s="4"/>
      <c r="C39" s="4"/>
      <c r="D39" s="4"/>
      <c r="E39" s="4"/>
      <c r="F39" s="4"/>
    </row>
    <row r="40" spans="1:6" ht="16" outlineLevel="1" x14ac:dyDescent="0.2">
      <c r="A40" s="27" t="s">
        <v>44</v>
      </c>
      <c r="B40" s="4" t="s">
        <v>26</v>
      </c>
      <c r="C40" s="4" t="s">
        <v>21</v>
      </c>
      <c r="D40" s="4">
        <f>IFERROR(VLOOKUP($B40,Lists!$C$3:$D$6,2,0),0)*IFERROR(VLOOKUP($C40,Lists!$C$9:$D$12,2,0),0)</f>
        <v>6</v>
      </c>
      <c r="E40" s="4">
        <f>IFERROR(VLOOKUP($B40,Lists!$C$3:$D$6,2,0),0)*Lists!$D$11</f>
        <v>9</v>
      </c>
      <c r="F40" s="4"/>
    </row>
    <row r="41" spans="1:6" ht="16" x14ac:dyDescent="0.2">
      <c r="A41" s="20" t="s">
        <v>45</v>
      </c>
      <c r="B41" s="4"/>
      <c r="C41" s="4"/>
      <c r="D41" s="4"/>
      <c r="E41" s="4"/>
      <c r="F41" s="4"/>
    </row>
    <row r="42" spans="1:6" ht="16" outlineLevel="1" x14ac:dyDescent="0.2">
      <c r="A42" s="23" t="s">
        <v>46</v>
      </c>
      <c r="B42" s="4" t="s">
        <v>15</v>
      </c>
      <c r="C42" s="4" t="s">
        <v>16</v>
      </c>
      <c r="D42" s="4">
        <f>IFERROR(VLOOKUP($B42,Lists!$C$3:$D$6,2,0),0)*IFERROR(VLOOKUP($C42,Lists!$C$9:$D$12,2,0),0)</f>
        <v>0</v>
      </c>
      <c r="E42" s="4">
        <f>IFERROR(VLOOKUP($B42,Lists!$C$3:$D$6,2,0),0)*Lists!$D$11</f>
        <v>18</v>
      </c>
      <c r="F42" s="4"/>
    </row>
    <row r="43" spans="1:6" ht="16" outlineLevel="1" x14ac:dyDescent="0.2">
      <c r="A43" s="23" t="s">
        <v>119</v>
      </c>
      <c r="B43" s="4" t="s">
        <v>15</v>
      </c>
      <c r="C43" s="4" t="s">
        <v>16</v>
      </c>
      <c r="D43" s="4">
        <f>IFERROR(VLOOKUP($B43,Lists!$C$3:$D$6,2,0),0)*IFERROR(VLOOKUP($C43,Lists!$C$9:$D$12,2,0),0)</f>
        <v>0</v>
      </c>
      <c r="E43" s="4">
        <f>IFERROR(VLOOKUP($B43,Lists!$C$3:$D$6,2,0),0)*Lists!$D$11</f>
        <v>18</v>
      </c>
      <c r="F43" s="4"/>
    </row>
    <row r="44" spans="1:6" ht="16" outlineLevel="1" x14ac:dyDescent="0.2">
      <c r="A44" s="23" t="s">
        <v>118</v>
      </c>
      <c r="B44" s="4" t="s">
        <v>15</v>
      </c>
      <c r="C44" s="4" t="s">
        <v>16</v>
      </c>
      <c r="D44" s="4">
        <f>IFERROR(VLOOKUP($B44,Lists!$C$3:$D$6,2,0),0)*IFERROR(VLOOKUP($C44,Lists!$C$9:$D$12,2,0),0)</f>
        <v>0</v>
      </c>
      <c r="E44" s="4">
        <f>IFERROR(VLOOKUP($B44,Lists!$C$3:$D$6,2,0),0)*Lists!$D$11</f>
        <v>18</v>
      </c>
      <c r="F44" s="4"/>
    </row>
    <row r="45" spans="1:6" ht="16" outlineLevel="1" x14ac:dyDescent="0.2">
      <c r="A45" s="23" t="s">
        <v>128</v>
      </c>
      <c r="B45" s="4" t="s">
        <v>15</v>
      </c>
      <c r="C45" s="4" t="s">
        <v>16</v>
      </c>
      <c r="D45" s="4">
        <f>IFERROR(VLOOKUP($B45,Lists!$C$3:$D$6,2,0),0)*IFERROR(VLOOKUP($C45,Lists!$C$9:$D$12,2,0),0)</f>
        <v>0</v>
      </c>
      <c r="E45" s="4">
        <f>IFERROR(VLOOKUP($B45,Lists!$C$3:$D$6,2,0),0)*Lists!$D$11</f>
        <v>18</v>
      </c>
      <c r="F45" s="4"/>
    </row>
    <row r="46" spans="1:6" ht="16" outlineLevel="1" x14ac:dyDescent="0.2">
      <c r="A46" s="23" t="s">
        <v>47</v>
      </c>
      <c r="B46" s="4" t="s">
        <v>15</v>
      </c>
      <c r="C46" s="4" t="s">
        <v>27</v>
      </c>
      <c r="D46" s="4">
        <f>IFERROR(VLOOKUP($B46,Lists!$C$3:$D$6,2,0),0)*IFERROR(VLOOKUP($C46,Lists!$C$9:$D$12,2,0),0)</f>
        <v>18</v>
      </c>
      <c r="E46" s="4">
        <f>IFERROR(VLOOKUP($B46,Lists!$C$3:$D$6,2,0),0)*Lists!$D$11</f>
        <v>18</v>
      </c>
      <c r="F46" s="4"/>
    </row>
  </sheetData>
  <conditionalFormatting sqref="F1:F6 F33:F42 F16:F25 F12:F13 F29:F30 F8:F10 F46:F1048576 F27">
    <cfRule type="containsText" dxfId="13" priority="19" operator="containsText" text="~??">
      <formula>NOT(ISERROR(SEARCH("~??",F1)))</formula>
    </cfRule>
  </conditionalFormatting>
  <conditionalFormatting sqref="F31">
    <cfRule type="containsText" dxfId="12" priority="18" operator="containsText" text="~??">
      <formula>NOT(ISERROR(SEARCH("~??",F31)))</formula>
    </cfRule>
  </conditionalFormatting>
  <conditionalFormatting sqref="F32">
    <cfRule type="containsText" dxfId="11" priority="17" operator="containsText" text="~??">
      <formula>NOT(ISERROR(SEARCH("~??",F32)))</formula>
    </cfRule>
  </conditionalFormatting>
  <conditionalFormatting sqref="F15">
    <cfRule type="containsText" dxfId="10" priority="16" operator="containsText" text="~??">
      <formula>NOT(ISERROR(SEARCH("~??",F15)))</formula>
    </cfRule>
  </conditionalFormatting>
  <conditionalFormatting sqref="F11">
    <cfRule type="containsText" dxfId="9" priority="12" operator="containsText" text="~??">
      <formula>NOT(ISERROR(SEARCH("~??",F11)))</formula>
    </cfRule>
  </conditionalFormatting>
  <conditionalFormatting sqref="F14">
    <cfRule type="containsText" dxfId="8" priority="7" operator="containsText" text="~??">
      <formula>NOT(ISERROR(SEARCH("~??",F14)))</formula>
    </cfRule>
  </conditionalFormatting>
  <conditionalFormatting sqref="F28">
    <cfRule type="containsText" dxfId="7" priority="6" operator="containsText" text="~??">
      <formula>NOT(ISERROR(SEARCH("~??",F28)))</formula>
    </cfRule>
  </conditionalFormatting>
  <conditionalFormatting sqref="F43">
    <cfRule type="containsText" dxfId="6" priority="4" operator="containsText" text="~??">
      <formula>NOT(ISERROR(SEARCH("~??",F43)))</formula>
    </cfRule>
  </conditionalFormatting>
  <conditionalFormatting sqref="F44">
    <cfRule type="containsText" dxfId="5" priority="3" operator="containsText" text="~??">
      <formula>NOT(ISERROR(SEARCH("~??",F44)))</formula>
    </cfRule>
  </conditionalFormatting>
  <conditionalFormatting sqref="F45">
    <cfRule type="containsText" dxfId="4" priority="2" operator="containsText" text="~??">
      <formula>NOT(ISERROR(SEARCH("~??",F45)))</formula>
    </cfRule>
  </conditionalFormatting>
  <conditionalFormatting sqref="F26">
    <cfRule type="containsText" dxfId="3" priority="1" operator="containsText" text="~??">
      <formula>NOT(ISERROR(SEARCH("~??",F26)))</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130" r:id="rId3" name="Button 82">
              <controlPr defaultSize="0" print="0" autoFill="0" autoPict="0" macro="[0]!duplicateRow">
                <anchor moveWithCells="1" sizeWithCells="1">
                  <from>
                    <xdr:col>5</xdr:col>
                    <xdr:colOff>9296400</xdr:colOff>
                    <xdr:row>1</xdr:row>
                    <xdr:rowOff>25400</xdr:rowOff>
                  </from>
                  <to>
                    <xdr:col>7</xdr:col>
                    <xdr:colOff>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7117656-55D9-4041-B3EB-E471DFD711DA}">
          <x14:formula1>
            <xm:f>Lists!$A$9:$A$12</xm:f>
          </x14:formula1>
          <xm:sqref>C42:C46 C3:C4 C8 C10:C11 C6 C13:C40</xm:sqref>
        </x14:dataValidation>
        <x14:dataValidation type="list" allowBlank="1" showInputMessage="1" showErrorMessage="1" xr:uid="{8F9DB7FA-7977-824C-A723-D3A734E60B34}">
          <x14:formula1>
            <xm:f>Lists!$A$3:$A$6</xm:f>
          </x14:formula1>
          <xm:sqref>B8 B40 B35:B38 B20:B21 B17:B18 B42:B46 B13:B15 B3:B4 B10:B11 B6 B23:B33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40AAE-C71C-4E86-A75B-77B6E34802C6}">
  <sheetPr codeName="Sheet3"/>
  <dimension ref="A1:F32"/>
  <sheetViews>
    <sheetView workbookViewId="0">
      <selection activeCell="A25" sqref="A25"/>
    </sheetView>
  </sheetViews>
  <sheetFormatPr baseColWidth="10" defaultColWidth="8.83203125" defaultRowHeight="15" outlineLevelRow="2" x14ac:dyDescent="0.2"/>
  <cols>
    <col min="1" max="1" width="52.6640625" customWidth="1"/>
    <col min="3" max="3" width="14" customWidth="1"/>
    <col min="5" max="5" width="12.1640625" bestFit="1" customWidth="1"/>
    <col min="6" max="6" width="105.83203125" customWidth="1"/>
    <col min="7" max="7" width="11.33203125" customWidth="1"/>
  </cols>
  <sheetData>
    <row r="1" spans="1:6" s="19" customFormat="1" ht="16" x14ac:dyDescent="0.2">
      <c r="A1" s="21" t="s">
        <v>48</v>
      </c>
      <c r="B1" s="17" t="s">
        <v>9</v>
      </c>
      <c r="C1" s="17" t="s">
        <v>10</v>
      </c>
      <c r="D1" s="17" t="s">
        <v>11</v>
      </c>
      <c r="E1" s="17" t="s">
        <v>12</v>
      </c>
      <c r="F1" s="18" t="s">
        <v>13</v>
      </c>
    </row>
    <row r="2" spans="1:6" x14ac:dyDescent="0.2">
      <c r="A2" s="22" t="s">
        <v>49</v>
      </c>
    </row>
    <row r="3" spans="1:6" outlineLevel="1" x14ac:dyDescent="0.2">
      <c r="A3" s="23" t="s">
        <v>50</v>
      </c>
      <c r="B3" s="6" t="s">
        <v>15</v>
      </c>
      <c r="C3" s="6" t="s">
        <v>27</v>
      </c>
      <c r="D3" s="6">
        <f>IFERROR(VLOOKUP($B3,Lists!$C$3:$D$6,2,0),0)*IFERROR(VLOOKUP($C3,Lists!$C$9:$D$12,2,0),0)</f>
        <v>18</v>
      </c>
      <c r="E3" s="6">
        <f>IFERROR(VLOOKUP($B3,Lists!$C$3:$D$6,2,0),0)*Lists!$D$11</f>
        <v>18</v>
      </c>
      <c r="F3" s="4"/>
    </row>
    <row r="4" spans="1:6" outlineLevel="1" x14ac:dyDescent="0.2">
      <c r="A4" s="23" t="s">
        <v>51</v>
      </c>
      <c r="B4" s="6" t="s">
        <v>15</v>
      </c>
      <c r="C4" s="6" t="s">
        <v>52</v>
      </c>
      <c r="D4" s="6">
        <f>IFERROR(VLOOKUP($B4,Lists!$C$3:$D$6,2,0),0)*IFERROR(VLOOKUP($C4,Lists!$C$9:$D$12,2,0),0)</f>
        <v>6</v>
      </c>
      <c r="E4" s="6">
        <f>IFERROR(VLOOKUP($B4,Lists!$C$3:$D$6,2,0),0)*Lists!$D$11</f>
        <v>18</v>
      </c>
      <c r="F4" s="4"/>
    </row>
    <row r="5" spans="1:6" outlineLevel="1" x14ac:dyDescent="0.2">
      <c r="A5" s="23" t="s">
        <v>53</v>
      </c>
      <c r="B5" s="6" t="s">
        <v>15</v>
      </c>
      <c r="C5" s="6" t="s">
        <v>27</v>
      </c>
      <c r="D5" s="6">
        <f>IFERROR(VLOOKUP($B5,Lists!$C$3:$D$6,2,0),0)*IFERROR(VLOOKUP($C5,Lists!$C$9:$D$12,2,0),0)</f>
        <v>18</v>
      </c>
      <c r="E5" s="6">
        <f>IFERROR(VLOOKUP($B5,Lists!$C$3:$D$6,2,0),0)*Lists!$D$11</f>
        <v>18</v>
      </c>
      <c r="F5" s="4"/>
    </row>
    <row r="6" spans="1:6" x14ac:dyDescent="0.2">
      <c r="A6" s="22" t="s">
        <v>54</v>
      </c>
      <c r="B6" s="6"/>
      <c r="C6" s="6"/>
      <c r="D6" s="6"/>
      <c r="E6" s="6"/>
      <c r="F6" s="4"/>
    </row>
    <row r="7" spans="1:6" outlineLevel="2" x14ac:dyDescent="0.2">
      <c r="A7" s="23" t="s">
        <v>55</v>
      </c>
      <c r="B7" s="6" t="s">
        <v>15</v>
      </c>
      <c r="C7" s="6" t="s">
        <v>16</v>
      </c>
      <c r="D7" s="6">
        <f>IFERROR(VLOOKUP($B7,Lists!$C$3:$D$6,2,0),0)*IFERROR(VLOOKUP($C7,Lists!$C$9:$D$12,2,0),0)</f>
        <v>0</v>
      </c>
      <c r="E7" s="6">
        <f>IFERROR(VLOOKUP($B7,Lists!$C$3:$D$6,2,0),0)*Lists!$D$11</f>
        <v>18</v>
      </c>
      <c r="F7" s="4"/>
    </row>
    <row r="8" spans="1:6" outlineLevel="2" x14ac:dyDescent="0.2">
      <c r="A8" s="24" t="s">
        <v>98</v>
      </c>
      <c r="B8" s="6" t="s">
        <v>20</v>
      </c>
      <c r="C8" s="6" t="s">
        <v>27</v>
      </c>
      <c r="D8" s="6">
        <f>IFERROR(VLOOKUP($B8,Lists!$C$3:$D$6,2,0),0)*IFERROR(VLOOKUP($C8,Lists!$C$9:$D$12,2,0),0)</f>
        <v>3</v>
      </c>
      <c r="E8" s="6">
        <f>IFERROR(VLOOKUP($B8,Lists!$C$3:$D$6,2,0),0)*Lists!$D$11</f>
        <v>3</v>
      </c>
      <c r="F8" s="4"/>
    </row>
    <row r="9" spans="1:6" outlineLevel="2" x14ac:dyDescent="0.2">
      <c r="A9" s="23" t="s">
        <v>56</v>
      </c>
      <c r="B9" s="6" t="s">
        <v>15</v>
      </c>
      <c r="C9" s="6" t="s">
        <v>16</v>
      </c>
      <c r="D9" s="6">
        <f>IFERROR(VLOOKUP($B9,Lists!$C$3:$D$6,2,0),0)*IFERROR(VLOOKUP($C9,Lists!$C$9:$D$12,2,0),0)</f>
        <v>0</v>
      </c>
      <c r="E9" s="6">
        <f>IFERROR(VLOOKUP($B9,Lists!$C$3:$D$6,2,0),0)*Lists!$D$11</f>
        <v>18</v>
      </c>
      <c r="F9" s="4"/>
    </row>
    <row r="10" spans="1:6" outlineLevel="2" x14ac:dyDescent="0.2">
      <c r="A10" s="23" t="s">
        <v>57</v>
      </c>
      <c r="B10" s="6" t="s">
        <v>20</v>
      </c>
      <c r="C10" s="6" t="s">
        <v>16</v>
      </c>
      <c r="D10" s="6">
        <f>IFERROR(VLOOKUP($B10,Lists!$C$3:$D$6,2,0),0)*IFERROR(VLOOKUP($C10,Lists!$C$9:$D$12,2,0),0)</f>
        <v>0</v>
      </c>
      <c r="E10" s="6">
        <f>IFERROR(VLOOKUP($B10,Lists!$C$3:$D$6,2,0),0)*Lists!$D$11</f>
        <v>3</v>
      </c>
      <c r="F10" s="4"/>
    </row>
    <row r="11" spans="1:6" outlineLevel="2" x14ac:dyDescent="0.2">
      <c r="A11" s="23" t="s">
        <v>99</v>
      </c>
      <c r="B11" s="6" t="s">
        <v>15</v>
      </c>
      <c r="C11" s="6" t="s">
        <v>16</v>
      </c>
      <c r="D11" s="6">
        <f>IFERROR(VLOOKUP($B11,Lists!$C$3:$D$6,2,0),0)*IFERROR(VLOOKUP($C11,Lists!$C$9:$D$12,2,0),0)</f>
        <v>0</v>
      </c>
      <c r="E11" s="6">
        <f>IFERROR(VLOOKUP($B11,Lists!$C$3:$D$6,2,0),0)*Lists!$D$11</f>
        <v>18</v>
      </c>
      <c r="F11" s="4"/>
    </row>
    <row r="12" spans="1:6" x14ac:dyDescent="0.2">
      <c r="A12" s="22" t="s">
        <v>85</v>
      </c>
      <c r="B12" s="6"/>
      <c r="C12" s="6"/>
      <c r="D12" s="6"/>
      <c r="E12" s="6"/>
      <c r="F12" s="4"/>
    </row>
    <row r="13" spans="1:6" outlineLevel="1" x14ac:dyDescent="0.2">
      <c r="A13" s="23" t="s">
        <v>58</v>
      </c>
      <c r="B13" s="6" t="s">
        <v>15</v>
      </c>
      <c r="C13" s="6" t="s">
        <v>21</v>
      </c>
      <c r="D13" s="6">
        <f>IFERROR(VLOOKUP($B13,Lists!$C$3:$D$6,2,0),0)*IFERROR(VLOOKUP($C13,Lists!$C$9:$D$12,2,0),0)</f>
        <v>12</v>
      </c>
      <c r="E13" s="6">
        <f>IFERROR(VLOOKUP($B13,Lists!$C$3:$D$6,2,0),0)*Lists!$D$11</f>
        <v>18</v>
      </c>
      <c r="F13" s="4"/>
    </row>
    <row r="14" spans="1:6" ht="32" outlineLevel="1" x14ac:dyDescent="0.2">
      <c r="A14" s="25" t="s">
        <v>100</v>
      </c>
      <c r="B14" s="6" t="s">
        <v>15</v>
      </c>
      <c r="C14" s="6" t="s">
        <v>16</v>
      </c>
      <c r="D14" s="6">
        <f>IFERROR(VLOOKUP($B14,Lists!$C$3:$D$6,2,0),0)*IFERROR(VLOOKUP($C14,Lists!$C$9:$D$12,2,0),0)</f>
        <v>0</v>
      </c>
      <c r="E14" s="6">
        <f>IFERROR(VLOOKUP($B14,Lists!$C$3:$D$6,2,0),0)*Lists!$D$11</f>
        <v>18</v>
      </c>
      <c r="F14" s="4" t="s">
        <v>91</v>
      </c>
    </row>
    <row r="15" spans="1:6" x14ac:dyDescent="0.2">
      <c r="A15" s="22" t="s">
        <v>84</v>
      </c>
      <c r="B15" s="6"/>
      <c r="C15" s="6"/>
      <c r="D15" s="6"/>
      <c r="E15" s="6"/>
      <c r="F15" s="4"/>
    </row>
    <row r="16" spans="1:6" outlineLevel="1" x14ac:dyDescent="0.2">
      <c r="A16" s="23" t="s">
        <v>59</v>
      </c>
      <c r="B16" s="6" t="s">
        <v>15</v>
      </c>
      <c r="C16" s="6" t="s">
        <v>16</v>
      </c>
      <c r="D16" s="6">
        <f>IFERROR(VLOOKUP($B16,Lists!$C$3:$D$6,2,0),0)*IFERROR(VLOOKUP($C16,Lists!$C$9:$D$12,2,0),0)</f>
        <v>0</v>
      </c>
      <c r="E16" s="6">
        <f>IFERROR(VLOOKUP($B16,Lists!$C$3:$D$6,2,0),0)*Lists!$D$11</f>
        <v>18</v>
      </c>
      <c r="F16" s="4"/>
    </row>
    <row r="17" spans="1:6" outlineLevel="1" x14ac:dyDescent="0.2">
      <c r="A17" s="23" t="s">
        <v>93</v>
      </c>
      <c r="B17" s="6" t="s">
        <v>15</v>
      </c>
      <c r="C17" s="6" t="s">
        <v>16</v>
      </c>
      <c r="D17" s="6">
        <f>IFERROR(VLOOKUP($B17,Lists!$C$3:$D$6,2,0),0)*IFERROR(VLOOKUP($C17,Lists!$C$9:$D$12,2,0),0)</f>
        <v>0</v>
      </c>
      <c r="E17" s="6">
        <f>IFERROR(VLOOKUP($B17,Lists!$C$3:$D$6,2,0),0)*Lists!$D$11</f>
        <v>18</v>
      </c>
      <c r="F17" s="4"/>
    </row>
    <row r="18" spans="1:6" outlineLevel="1" x14ac:dyDescent="0.2">
      <c r="A18" s="23" t="s">
        <v>60</v>
      </c>
      <c r="B18" s="6" t="s">
        <v>15</v>
      </c>
      <c r="C18" s="6" t="s">
        <v>16</v>
      </c>
      <c r="D18" s="6">
        <f>IFERROR(VLOOKUP($B18,Lists!$C$3:$D$6,2,0),0)*IFERROR(VLOOKUP($C18,Lists!$C$9:$D$12,2,0),0)</f>
        <v>0</v>
      </c>
      <c r="E18" s="6">
        <f>IFERROR(VLOOKUP($B18,Lists!$C$3:$D$6,2,0),0)*Lists!$D$11</f>
        <v>18</v>
      </c>
      <c r="F18" s="4"/>
    </row>
    <row r="19" spans="1:6" outlineLevel="1" x14ac:dyDescent="0.2">
      <c r="A19" s="23" t="s">
        <v>61</v>
      </c>
      <c r="B19" s="6" t="s">
        <v>26</v>
      </c>
      <c r="C19" s="6" t="s">
        <v>27</v>
      </c>
      <c r="D19" s="6">
        <f>IFERROR(VLOOKUP($B19,Lists!$C$3:$D$6,2,0),0)*IFERROR(VLOOKUP($C19,Lists!$C$9:$D$12,2,0),0)</f>
        <v>9</v>
      </c>
      <c r="E19" s="6">
        <f>IFERROR(VLOOKUP($B19,Lists!$C$3:$D$6,2,0),0)*Lists!$D$11</f>
        <v>9</v>
      </c>
      <c r="F19" s="4"/>
    </row>
    <row r="20" spans="1:6" outlineLevel="1" x14ac:dyDescent="0.2">
      <c r="A20" s="23" t="s">
        <v>62</v>
      </c>
      <c r="B20" s="6" t="s">
        <v>15</v>
      </c>
      <c r="C20" s="6" t="s">
        <v>16</v>
      </c>
      <c r="D20" s="6">
        <f>IFERROR(VLOOKUP($B20,Lists!$C$3:$D$6,2,0),0)*IFERROR(VLOOKUP($C20,Lists!$C$9:$D$12,2,0),0)</f>
        <v>0</v>
      </c>
      <c r="E20" s="6">
        <f>IFERROR(VLOOKUP($B20,Lists!$C$3:$D$6,2,0),0)*Lists!$D$11</f>
        <v>18</v>
      </c>
      <c r="F20" s="4"/>
    </row>
    <row r="21" spans="1:6" outlineLevel="1" x14ac:dyDescent="0.2">
      <c r="A21" s="23" t="s">
        <v>82</v>
      </c>
      <c r="B21" s="6" t="s">
        <v>15</v>
      </c>
      <c r="C21" s="6" t="s">
        <v>16</v>
      </c>
      <c r="D21" s="6">
        <f>IFERROR(VLOOKUP($B21,Lists!$C$3:$D$6,2,0),0)*IFERROR(VLOOKUP($C21,Lists!$C$9:$D$12,2,0),0)</f>
        <v>0</v>
      </c>
      <c r="E21" s="6">
        <f>IFERROR(VLOOKUP($B21,Lists!$C$3:$D$6,2,0),0)*Lists!$D$11</f>
        <v>18</v>
      </c>
      <c r="F21" s="4"/>
    </row>
    <row r="22" spans="1:6" outlineLevel="1" x14ac:dyDescent="0.2">
      <c r="A22" s="23" t="s">
        <v>101</v>
      </c>
      <c r="B22" s="6" t="s">
        <v>15</v>
      </c>
      <c r="C22" s="6" t="s">
        <v>16</v>
      </c>
      <c r="D22" s="6">
        <f>IFERROR(VLOOKUP($B22,Lists!$C$3:$D$6,2,0),0)*IFERROR(VLOOKUP($C22,Lists!$C$9:$D$12,2,0),0)</f>
        <v>0</v>
      </c>
      <c r="E22" s="6">
        <f>IFERROR(VLOOKUP($B22,Lists!$C$3:$D$6,2,0),0)*Lists!$D$11</f>
        <v>18</v>
      </c>
      <c r="F22" s="4"/>
    </row>
    <row r="23" spans="1:6" outlineLevel="1" x14ac:dyDescent="0.2">
      <c r="A23" s="23" t="s">
        <v>124</v>
      </c>
      <c r="B23" s="6" t="s">
        <v>15</v>
      </c>
      <c r="C23" s="6" t="s">
        <v>16</v>
      </c>
      <c r="D23" s="6">
        <f>IFERROR(VLOOKUP($B23,Lists!$C$3:$D$6,2,0),0)*IFERROR(VLOOKUP($C23,Lists!$C$9:$D$12,2,0),0)</f>
        <v>0</v>
      </c>
      <c r="E23" s="6">
        <f>IFERROR(VLOOKUP($B23,Lists!$C$3:$D$6,2,0),0)*Lists!$D$11</f>
        <v>18</v>
      </c>
      <c r="F23" s="4"/>
    </row>
    <row r="24" spans="1:6" outlineLevel="1" x14ac:dyDescent="0.2">
      <c r="A24" s="23" t="s">
        <v>83</v>
      </c>
      <c r="B24" s="6" t="s">
        <v>15</v>
      </c>
      <c r="C24" s="6" t="s">
        <v>16</v>
      </c>
      <c r="D24" s="6">
        <f>IFERROR(VLOOKUP($B24,Lists!$C$3:$D$6,2,0),0)*IFERROR(VLOOKUP($C24,Lists!$C$9:$D$12,2,0),0)</f>
        <v>0</v>
      </c>
      <c r="E24" s="6">
        <f>IFERROR(VLOOKUP($B24,Lists!$C$3:$D$6,2,0),0)*Lists!$D$11</f>
        <v>18</v>
      </c>
      <c r="F24" s="4"/>
    </row>
    <row r="25" spans="1:6" x14ac:dyDescent="0.2">
      <c r="A25" s="22" t="s">
        <v>129</v>
      </c>
      <c r="B25" s="6"/>
      <c r="C25" s="6"/>
      <c r="D25" s="6"/>
      <c r="E25" s="6"/>
      <c r="F25" s="4"/>
    </row>
    <row r="26" spans="1:6" outlineLevel="1" x14ac:dyDescent="0.2">
      <c r="A26" s="23" t="s">
        <v>63</v>
      </c>
      <c r="B26" s="6" t="s">
        <v>15</v>
      </c>
      <c r="C26" s="6" t="s">
        <v>16</v>
      </c>
      <c r="D26" s="6">
        <f>IFERROR(VLOOKUP($B26,Lists!$C$3:$D$6,2,0),0)*IFERROR(VLOOKUP($C26,Lists!$C$9:$D$12,2,0),0)</f>
        <v>0</v>
      </c>
      <c r="E26" s="6">
        <f>IFERROR(VLOOKUP($B26,Lists!$C$3:$D$6,2,0),0)*Lists!$D$11</f>
        <v>18</v>
      </c>
      <c r="F26" s="4"/>
    </row>
    <row r="27" spans="1:6" outlineLevel="1" x14ac:dyDescent="0.2">
      <c r="A27" s="23" t="s">
        <v>64</v>
      </c>
      <c r="B27" s="6" t="s">
        <v>15</v>
      </c>
      <c r="C27" s="6" t="s">
        <v>27</v>
      </c>
      <c r="D27" s="6">
        <f>IFERROR(VLOOKUP($B27,Lists!$C$3:$D$6,2,0),0)*IFERROR(VLOOKUP($C27,Lists!$C$9:$D$12,2,0),0)</f>
        <v>18</v>
      </c>
      <c r="E27" s="6">
        <f>IFERROR(VLOOKUP($B27,Lists!$C$3:$D$6,2,0),0)*Lists!$D$11</f>
        <v>18</v>
      </c>
      <c r="F27" s="4"/>
    </row>
    <row r="28" spans="1:6" ht="32" outlineLevel="1" x14ac:dyDescent="0.2">
      <c r="A28" s="25" t="s">
        <v>65</v>
      </c>
      <c r="B28" s="6" t="s">
        <v>15</v>
      </c>
      <c r="C28" s="6" t="s">
        <v>16</v>
      </c>
      <c r="D28" s="6">
        <f>IFERROR(VLOOKUP($B28,Lists!$C$3:$D$6,2,0),0)*IFERROR(VLOOKUP($C28,Lists!$C$9:$D$12,2,0),0)</f>
        <v>0</v>
      </c>
      <c r="E28" s="6">
        <f>IFERROR(VLOOKUP($B28,Lists!$C$3:$D$6,2,0),0)*Lists!$D$11</f>
        <v>18</v>
      </c>
      <c r="F28" s="4"/>
    </row>
    <row r="29" spans="1:6" x14ac:dyDescent="0.2">
      <c r="A29" s="22" t="s">
        <v>66</v>
      </c>
      <c r="B29" s="6"/>
      <c r="C29" s="6"/>
      <c r="D29" s="6"/>
      <c r="E29" s="6"/>
      <c r="F29" s="4"/>
    </row>
    <row r="30" spans="1:6" outlineLevel="1" x14ac:dyDescent="0.2">
      <c r="A30" s="23" t="s">
        <v>67</v>
      </c>
      <c r="B30" s="6" t="s">
        <v>26</v>
      </c>
      <c r="C30" s="6" t="s">
        <v>21</v>
      </c>
      <c r="D30" s="6">
        <f>IFERROR(VLOOKUP($B30,Lists!$C$3:$D$6,2,0),0)*IFERROR(VLOOKUP($C30,Lists!$C$9:$D$12,2,0),0)</f>
        <v>6</v>
      </c>
      <c r="E30" s="6">
        <f>IFERROR(VLOOKUP($B30,Lists!$C$3:$D$6,2,0),0)*Lists!$D$11</f>
        <v>9</v>
      </c>
      <c r="F30" s="4"/>
    </row>
    <row r="31" spans="1:6" x14ac:dyDescent="0.2">
      <c r="A31" s="22" t="s">
        <v>68</v>
      </c>
      <c r="B31" s="6"/>
      <c r="C31" s="6"/>
      <c r="D31" s="6"/>
      <c r="E31" s="6"/>
      <c r="F31" s="4"/>
    </row>
    <row r="32" spans="1:6" outlineLevel="1" x14ac:dyDescent="0.2">
      <c r="A32" s="23" t="s">
        <v>69</v>
      </c>
      <c r="B32" s="6" t="s">
        <v>15</v>
      </c>
      <c r="C32" s="6" t="s">
        <v>16</v>
      </c>
      <c r="D32" s="6">
        <f>IFERROR(VLOOKUP($B32,Lists!$C$3:$D$6,2,0),0)*IFERROR(VLOOKUP($C32,Lists!$C$9:$D$12,2,0),0)</f>
        <v>0</v>
      </c>
      <c r="E32" s="6">
        <f>IFERROR(VLOOKUP($B32,Lists!$C$3:$D$6,2,0),0)*Lists!$D$11</f>
        <v>18</v>
      </c>
      <c r="F32" s="4"/>
    </row>
  </sheetData>
  <conditionalFormatting sqref="F1:F16 F18:F22 F24:F1048576">
    <cfRule type="containsText" dxfId="2" priority="3" operator="containsText" text="~???">
      <formula>NOT(ISERROR(SEARCH("~???",F1)))</formula>
    </cfRule>
  </conditionalFormatting>
  <conditionalFormatting sqref="F17">
    <cfRule type="containsText" dxfId="1" priority="2" operator="containsText" text="~???">
      <formula>NOT(ISERROR(SEARCH("~???",F17)))</formula>
    </cfRule>
  </conditionalFormatting>
  <conditionalFormatting sqref="F23">
    <cfRule type="containsText" dxfId="0" priority="1" operator="containsText" text="~???">
      <formula>NOT(ISERROR(SEARCH("~???",F23)))</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9" r:id="rId3" name="Button 7">
              <controlPr defaultSize="0" print="0" autoFill="0" autoPict="0" macro="[0]!duplicateRow" altText="DuplicateRow">
                <anchor moveWithCells="1" sizeWithCells="1">
                  <from>
                    <xdr:col>6</xdr:col>
                    <xdr:colOff>0</xdr:colOff>
                    <xdr:row>1</xdr:row>
                    <xdr:rowOff>25400</xdr:rowOff>
                  </from>
                  <to>
                    <xdr:col>7</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B13E335-8CCC-8E41-BB48-4D7B6ED98C9A}">
          <x14:formula1>
            <xm:f>Lists!$A$9:$A$12</xm:f>
          </x14:formula1>
          <xm:sqref>C7:C14 C3:C5 C32 C30 C16:C28</xm:sqref>
        </x14:dataValidation>
        <x14:dataValidation type="list" allowBlank="1" showInputMessage="1" showErrorMessage="1" xr:uid="{E9B82C25-C24C-1D4F-91C3-33D30364FCC3}">
          <x14:formula1>
            <xm:f>Lists!$A$3:$A$6</xm:f>
          </x14:formula1>
          <xm:sqref>B7:B14 B3:B5 B32 B30 B16:B28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8979B-626A-5249-8176-6AC5694E416E}">
  <sheetPr codeName="Sheet4"/>
  <dimension ref="A2:D28"/>
  <sheetViews>
    <sheetView workbookViewId="0">
      <selection activeCell="A2" sqref="A2:D18"/>
    </sheetView>
  </sheetViews>
  <sheetFormatPr baseColWidth="10" defaultColWidth="11.5" defaultRowHeight="15" x14ac:dyDescent="0.2"/>
  <cols>
    <col min="1" max="1" width="24" style="6" customWidth="1"/>
    <col min="2" max="2" width="99" style="4" customWidth="1"/>
    <col min="3" max="3" width="20.83203125" customWidth="1"/>
  </cols>
  <sheetData>
    <row r="2" spans="1:4" ht="16" x14ac:dyDescent="0.2">
      <c r="A2" s="5" t="s">
        <v>115</v>
      </c>
      <c r="B2" s="3" t="s">
        <v>70</v>
      </c>
      <c r="C2" s="5" t="s">
        <v>115</v>
      </c>
      <c r="D2" s="1" t="s">
        <v>71</v>
      </c>
    </row>
    <row r="3" spans="1:4" ht="16" x14ac:dyDescent="0.2">
      <c r="A3" s="6" t="s">
        <v>15</v>
      </c>
      <c r="B3" s="4" t="s">
        <v>107</v>
      </c>
      <c r="C3" s="6" t="s">
        <v>15</v>
      </c>
      <c r="D3">
        <v>6</v>
      </c>
    </row>
    <row r="4" spans="1:4" ht="16" x14ac:dyDescent="0.2">
      <c r="A4" s="6" t="s">
        <v>26</v>
      </c>
      <c r="B4" s="4" t="s">
        <v>108</v>
      </c>
      <c r="C4" s="6" t="s">
        <v>26</v>
      </c>
      <c r="D4">
        <v>3</v>
      </c>
    </row>
    <row r="5" spans="1:4" ht="16" x14ac:dyDescent="0.2">
      <c r="A5" s="6" t="s">
        <v>20</v>
      </c>
      <c r="B5" s="4" t="s">
        <v>109</v>
      </c>
      <c r="C5" s="6" t="s">
        <v>20</v>
      </c>
      <c r="D5">
        <v>1</v>
      </c>
    </row>
    <row r="6" spans="1:4" ht="16" x14ac:dyDescent="0.2">
      <c r="A6" s="6" t="s">
        <v>29</v>
      </c>
      <c r="B6" s="4" t="s">
        <v>110</v>
      </c>
      <c r="C6" s="6" t="s">
        <v>29</v>
      </c>
      <c r="D6">
        <v>6</v>
      </c>
    </row>
    <row r="8" spans="1:4" ht="22" customHeight="1" x14ac:dyDescent="0.2">
      <c r="A8" s="5" t="s">
        <v>10</v>
      </c>
      <c r="B8" s="3" t="s">
        <v>70</v>
      </c>
      <c r="C8" s="5" t="s">
        <v>10</v>
      </c>
      <c r="D8" s="5" t="s">
        <v>71</v>
      </c>
    </row>
    <row r="9" spans="1:4" ht="48" x14ac:dyDescent="0.2">
      <c r="A9" s="6" t="s">
        <v>52</v>
      </c>
      <c r="B9" s="4" t="s">
        <v>111</v>
      </c>
      <c r="C9" s="6" t="s">
        <v>52</v>
      </c>
      <c r="D9">
        <v>1</v>
      </c>
    </row>
    <row r="10" spans="1:4" ht="48" x14ac:dyDescent="0.2">
      <c r="A10" s="6" t="s">
        <v>21</v>
      </c>
      <c r="B10" s="4" t="s">
        <v>112</v>
      </c>
      <c r="C10" s="6" t="s">
        <v>21</v>
      </c>
      <c r="D10">
        <v>2</v>
      </c>
    </row>
    <row r="11" spans="1:4" ht="16" x14ac:dyDescent="0.2">
      <c r="A11" s="6" t="s">
        <v>27</v>
      </c>
      <c r="B11" s="4" t="s">
        <v>113</v>
      </c>
      <c r="C11" s="6" t="s">
        <v>27</v>
      </c>
      <c r="D11">
        <v>3</v>
      </c>
    </row>
    <row r="12" spans="1:4" ht="16" x14ac:dyDescent="0.2">
      <c r="A12" s="6" t="s">
        <v>16</v>
      </c>
      <c r="B12" s="4" t="s">
        <v>114</v>
      </c>
      <c r="C12" s="6" t="s">
        <v>16</v>
      </c>
      <c r="D12">
        <v>0</v>
      </c>
    </row>
    <row r="14" spans="1:4" ht="16" x14ac:dyDescent="0.2">
      <c r="A14" s="5" t="s">
        <v>72</v>
      </c>
      <c r="B14" s="3" t="s">
        <v>70</v>
      </c>
    </row>
    <row r="15" spans="1:4" ht="16" x14ac:dyDescent="0.2">
      <c r="A15" s="6" t="s">
        <v>2</v>
      </c>
      <c r="B15" s="4" t="s">
        <v>73</v>
      </c>
    </row>
    <row r="16" spans="1:4" ht="16" x14ac:dyDescent="0.2">
      <c r="A16" s="6" t="s">
        <v>74</v>
      </c>
      <c r="B16" s="4" t="s">
        <v>75</v>
      </c>
    </row>
    <row r="17" spans="1:2" ht="16" x14ac:dyDescent="0.2">
      <c r="A17" s="6" t="s">
        <v>76</v>
      </c>
      <c r="B17" s="4" t="s">
        <v>77</v>
      </c>
    </row>
    <row r="18" spans="1:2" ht="16" x14ac:dyDescent="0.2">
      <c r="A18" s="6" t="s">
        <v>78</v>
      </c>
      <c r="B18" s="4" t="s">
        <v>79</v>
      </c>
    </row>
    <row r="21" spans="1:2" x14ac:dyDescent="0.2">
      <c r="A21" s="5"/>
      <c r="B21" s="3"/>
    </row>
    <row r="25" spans="1:2" ht="17" x14ac:dyDescent="0.2">
      <c r="A25" s="13"/>
    </row>
    <row r="26" spans="1:2" ht="17" x14ac:dyDescent="0.2">
      <c r="A26" s="13"/>
    </row>
    <row r="27" spans="1:2" ht="17" x14ac:dyDescent="0.2">
      <c r="A27" s="13"/>
    </row>
    <row r="28" spans="1:2" ht="17" x14ac:dyDescent="0.2">
      <c r="A28" s="13"/>
    </row>
  </sheetData>
  <dataValidations count="1">
    <dataValidation type="list" allowBlank="1" showInputMessage="1" showErrorMessage="1" errorTitle="Please use defined value" promptTitle="Priority" sqref="A3:A5 C3:C5" xr:uid="{6AD8E51B-D333-A542-8181-A2C00C3BCB56}">
      <formula1>$A$3:$A$5</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51</vt:i4>
      </vt:variant>
    </vt:vector>
  </HeadingPairs>
  <TitlesOfParts>
    <vt:vector size="55" baseType="lpstr">
      <vt:lpstr>Summary</vt:lpstr>
      <vt:lpstr>User Perspective</vt:lpstr>
      <vt:lpstr>Developer Perspective</vt:lpstr>
      <vt:lpstr>Lists</vt:lpstr>
      <vt:lpstr>ArchRigor</vt:lpstr>
      <vt:lpstr>ArchRigorD</vt:lpstr>
      <vt:lpstr>ArchRigorE</vt:lpstr>
      <vt:lpstr>CloudLockRange</vt:lpstr>
      <vt:lpstr>CloudLockRangeD</vt:lpstr>
      <vt:lpstr>CloudLockRangeE</vt:lpstr>
      <vt:lpstr>DevSec</vt:lpstr>
      <vt:lpstr>DevSecD</vt:lpstr>
      <vt:lpstr>DevSecE</vt:lpstr>
      <vt:lpstr>DRRange</vt:lpstr>
      <vt:lpstr>DRRangeD</vt:lpstr>
      <vt:lpstr>DRRangeE</vt:lpstr>
      <vt:lpstr>EaseUseRange</vt:lpstr>
      <vt:lpstr>EaseUseRangeD</vt:lpstr>
      <vt:lpstr>EaseUseRangeE</vt:lpstr>
      <vt:lpstr>FTHARange</vt:lpstr>
      <vt:lpstr>FTHARangeD</vt:lpstr>
      <vt:lpstr>FTHARangeE</vt:lpstr>
      <vt:lpstr>InterOpRange</vt:lpstr>
      <vt:lpstr>InterOpRangeD</vt:lpstr>
      <vt:lpstr>InterOpRangeE</vt:lpstr>
      <vt:lpstr>MaintainRange</vt:lpstr>
      <vt:lpstr>MaintainRangeD</vt:lpstr>
      <vt:lpstr>MaintainRangeE</vt:lpstr>
      <vt:lpstr>OperationRange</vt:lpstr>
      <vt:lpstr>OperationRangeD</vt:lpstr>
      <vt:lpstr>OperationRangeE</vt:lpstr>
      <vt:lpstr>PerfRange</vt:lpstr>
      <vt:lpstr>PerfRangeD</vt:lpstr>
      <vt:lpstr>PerfRangeE</vt:lpstr>
      <vt:lpstr>ReuseRange</vt:lpstr>
      <vt:lpstr>ReuseRangeD</vt:lpstr>
      <vt:lpstr>ReuseRangeE</vt:lpstr>
      <vt:lpstr>RunCostRange</vt:lpstr>
      <vt:lpstr>RunCostRangeD</vt:lpstr>
      <vt:lpstr>RunCostRangeE</vt:lpstr>
      <vt:lpstr>ScaleRange</vt:lpstr>
      <vt:lpstr>ScaleRangeD</vt:lpstr>
      <vt:lpstr>ScaleRangeE</vt:lpstr>
      <vt:lpstr>SecurityRange</vt:lpstr>
      <vt:lpstr>SecurityRangeD</vt:lpstr>
      <vt:lpstr>SecurityRangeE</vt:lpstr>
      <vt:lpstr>TestRange</vt:lpstr>
      <vt:lpstr>TestRangeD</vt:lpstr>
      <vt:lpstr>TestRangeE</vt:lpstr>
      <vt:lpstr>TimeRange</vt:lpstr>
      <vt:lpstr>TimeRangeD</vt:lpstr>
      <vt:lpstr>TimeRangeE</vt:lpstr>
      <vt:lpstr>UsabilityRange</vt:lpstr>
      <vt:lpstr>UsabilityRangeD</vt:lpstr>
      <vt:lpstr>UsabilityRangeE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2019-02-11T05:03:52Z</dcterms:created>
  <dcterms:modified xsi:type="dcterms:W3CDTF">2019-11-26T15:03:22Z</dcterms:modified>
  <cp:category/>
  <cp:contentStatus/>
</cp:coreProperties>
</file>